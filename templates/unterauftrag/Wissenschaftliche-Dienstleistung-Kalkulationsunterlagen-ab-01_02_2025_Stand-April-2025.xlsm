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workbookPr showInkAnnotation="0" codeName="DieseArbeitsmappe"/>
  <mc:AlternateContent xmlns:mc="http://schemas.openxmlformats.org/markup-compatibility/2006">
    <mc:Choice Requires="x15">
      <x15ac:absPath xmlns:x15ac="http://schemas.microsoft.com/office/spreadsheetml/2010/11/ac" url="C:\Users\bt304278\Downloads\"/>
    </mc:Choice>
  </mc:AlternateContent>
  <xr:revisionPtr revIDLastSave="0" documentId="13_ncr:1_{D11B5A4F-B848-44A7-B819-0B98C8639AFE}" xr6:coauthVersionLast="47" xr6:coauthVersionMax="47" xr10:uidLastSave="{00000000-0000-0000-0000-000000000000}"/>
  <workbookProtection workbookAlgorithmName="SHA-512" workbookHashValue="Z1wh4tqI8VJ+7JsyIFBjne32rQrDay5d79cnE7qYn00eezVJoRULJxD2L1AWFJvaru9H7LOHP+iMRmpUZu9Nog==" workbookSaltValue="22m0swOHyOCj+MtDeJ0xrw==" workbookSpinCount="100000" lockStructure="1"/>
  <bookViews>
    <workbookView xWindow="-120" yWindow="-120" windowWidth="29040" windowHeight="17520" tabRatio="811" xr2:uid="{00000000-000D-0000-FFFF-FFFF00000000}"/>
  </bookViews>
  <sheets>
    <sheet name="Einleitung" sheetId="1" r:id="rId1"/>
    <sheet name="Daten zum Auftrag" sheetId="21" r:id="rId2"/>
    <sheet name="vereinfachte Gesamtkalkulat " sheetId="17" r:id="rId3"/>
    <sheet name="Code" sheetId="12" state="hidden" r:id="rId4"/>
    <sheet name="Personalkosten" sheetId="4" r:id="rId5"/>
    <sheet name="Tabelle4" sheetId="19" state="hidden" r:id="rId6"/>
    <sheet name="Gerätenutzungskosten" sheetId="5" r:id="rId7"/>
    <sheet name="Materialkosten" sheetId="6" r:id="rId8"/>
    <sheet name="Fremdleistungskosten" sheetId="7" r:id="rId9"/>
    <sheet name="sonstige direkt zurechenbare Ko" sheetId="8" r:id="rId10"/>
    <sheet name="Tabelle1" sheetId="13" state="hidden" r:id="rId11"/>
    <sheet name="Tabelle2" sheetId="14" state="hidden" r:id="rId12"/>
    <sheet name="Gesamtkalkulation" sheetId="16" r:id="rId13"/>
    <sheet name="Tabelle3" sheetId="15" state="hidden" r:id="rId14"/>
  </sheets>
  <externalReferences>
    <externalReference r:id="rId15"/>
  </externalReferences>
  <definedNames>
    <definedName name="_xlnm.Print_Area" localSheetId="1">'Daten zum Auftrag'!$A$1:$K$66</definedName>
    <definedName name="_xlnm.Print_Area" localSheetId="8">Fremdleistungskosten!$A$1:$G$29</definedName>
    <definedName name="_xlnm.Print_Area" localSheetId="6">Gerätenutzungskosten!$A$1:$I$26</definedName>
    <definedName name="_xlnm.Print_Area" localSheetId="12">Gesamtkalkulation!$A$1:$J$67</definedName>
    <definedName name="_xlnm.Print_Area" localSheetId="7">Materialkosten!$A$1:$G$35</definedName>
    <definedName name="_xlnm.Print_Area" localSheetId="4">Personalkosten!$A$1:$N$56</definedName>
    <definedName name="_xlnm.Print_Area" localSheetId="9">'sonstige direkt zurechenbare Ko'!$A$1:$F$43</definedName>
    <definedName name="_xlnm.Print_Area" localSheetId="2">'vereinfachte Gesamtkalkulat '!$A$1:$E$107</definedName>
    <definedName name="_xlnm.Print_Titles" localSheetId="4">Personalkosten!$2:$7</definedName>
    <definedName name="Mussfelder" localSheetId="1">#REF!,#REF!</definedName>
    <definedName name="Mussfelder" localSheetId="12">'[1]vereinfachte Gesamtkalkulation'!$A$10,'[1]vereinfachte Gesamtkalkulation'!$C$62</definedName>
    <definedName name="Mussfelder" localSheetId="2">'vereinfachte Gesamtkalkulat '!#REF!,'vereinfachte Gesamtkalkulat '!$C$62</definedName>
    <definedName name="Mussfelder">#REF!,#REF!</definedName>
    <definedName name="Z_8595FB22_684A_40C6_BCB3_CF11C69F4546_.wvu.Cols" localSheetId="4" hidden="1">Personalkosten!$B:$B,Personalkosten!$D:$F</definedName>
    <definedName name="Z_8595FB22_684A_40C6_BCB3_CF11C69F4546_.wvu.PrintArea" localSheetId="1" hidden="1">'Daten zum Auftrag'!$A$1:$K$38</definedName>
    <definedName name="Z_8595FB22_684A_40C6_BCB3_CF11C69F4546_.wvu.PrintArea" localSheetId="12" hidden="1">Gesamtkalkulation!$A$1:$P$46</definedName>
    <definedName name="Z_8595FB22_684A_40C6_BCB3_CF11C69F4546_.wvu.PrintTitles" localSheetId="4" hidden="1">Personalkosten!$2:$7</definedName>
  </definedNames>
  <calcPr calcId="191028"/>
  <customWorkbookViews>
    <customWorkbookView name="Verwaltung - Persönliche Ansicht" guid="{8595FB22-684A-40C6-BCB3-CF11C69F4546}" mergeInterval="0" personalView="1" maximized="1" windowWidth="1071" windowHeight="825" tabRatio="1000"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D69" i="17" l="1"/>
  <c r="B47" i="21"/>
  <c r="F52" i="12" l="1"/>
  <c r="F53" i="12"/>
  <c r="F54" i="12"/>
  <c r="F55" i="12"/>
  <c r="E53" i="12"/>
  <c r="E54" i="12"/>
  <c r="E55" i="12"/>
  <c r="E52" i="12"/>
  <c r="F47" i="12"/>
  <c r="F48" i="12"/>
  <c r="F49" i="12"/>
  <c r="F50" i="12"/>
  <c r="E48" i="12"/>
  <c r="E49" i="12"/>
  <c r="E50" i="12"/>
  <c r="E47" i="12"/>
  <c r="F28" i="12"/>
  <c r="F29" i="12"/>
  <c r="F30" i="12"/>
  <c r="F31" i="12"/>
  <c r="F32" i="12"/>
  <c r="F33" i="12"/>
  <c r="F34" i="12"/>
  <c r="F35" i="12"/>
  <c r="F36" i="12"/>
  <c r="F37" i="12"/>
  <c r="F38" i="12"/>
  <c r="F39" i="12"/>
  <c r="F40" i="12"/>
  <c r="F41" i="12"/>
  <c r="F42" i="12"/>
  <c r="F43" i="12"/>
  <c r="F44" i="12"/>
  <c r="F45" i="12"/>
  <c r="E45" i="12"/>
  <c r="E44" i="12"/>
  <c r="E43" i="12"/>
  <c r="E42" i="12"/>
  <c r="E41" i="12"/>
  <c r="E40" i="12"/>
  <c r="E39" i="12"/>
  <c r="E38" i="12"/>
  <c r="E37" i="12"/>
  <c r="E36" i="12"/>
  <c r="E35" i="12"/>
  <c r="E34" i="12"/>
  <c r="E33" i="12"/>
  <c r="E32" i="12"/>
  <c r="E31" i="12"/>
  <c r="E30" i="12"/>
  <c r="E29" i="12"/>
  <c r="E28" i="12"/>
  <c r="F8" i="12"/>
  <c r="F9" i="12"/>
  <c r="F10" i="12"/>
  <c r="F11" i="12"/>
  <c r="F12" i="12"/>
  <c r="F13" i="12"/>
  <c r="F14" i="12"/>
  <c r="F15" i="12"/>
  <c r="F16" i="12"/>
  <c r="F17" i="12"/>
  <c r="F18" i="12"/>
  <c r="F19" i="12"/>
  <c r="F20" i="12"/>
  <c r="F21" i="12"/>
  <c r="F22" i="12"/>
  <c r="F23" i="12"/>
  <c r="F24" i="12"/>
  <c r="F25" i="12"/>
  <c r="F26" i="12"/>
  <c r="E9" i="12"/>
  <c r="E10" i="12"/>
  <c r="E11" i="12"/>
  <c r="E12" i="12"/>
  <c r="E13" i="12"/>
  <c r="E14" i="12"/>
  <c r="E15" i="12"/>
  <c r="E16" i="12"/>
  <c r="E17" i="12"/>
  <c r="E18" i="12"/>
  <c r="E19" i="12"/>
  <c r="E20" i="12"/>
  <c r="E21" i="12"/>
  <c r="E22" i="12"/>
  <c r="E23" i="12"/>
  <c r="E24" i="12"/>
  <c r="E25" i="12"/>
  <c r="E26" i="12"/>
  <c r="E8" i="12"/>
  <c r="C10" i="17"/>
  <c r="L32" i="4" l="1"/>
  <c r="H43" i="4" l="1"/>
  <c r="J43" i="4" s="1"/>
  <c r="F39" i="16" l="1"/>
  <c r="C68" i="17"/>
  <c r="A73" i="17" l="1"/>
  <c r="B73" i="17" l="1"/>
  <c r="C69" i="17"/>
  <c r="V49" i="4"/>
  <c r="V48" i="4"/>
  <c r="S9" i="4"/>
  <c r="S10" i="4" s="1"/>
  <c r="L38" i="4" l="1"/>
  <c r="L39" i="4"/>
  <c r="L40" i="4"/>
  <c r="L37" i="4"/>
  <c r="L33" i="4"/>
  <c r="L34" i="4"/>
  <c r="L35" i="4"/>
  <c r="D32" i="17" l="1"/>
  <c r="J25" i="4" l="1"/>
  <c r="L19" i="4"/>
  <c r="J19" i="4" l="1"/>
  <c r="N32" i="4"/>
  <c r="J32" i="4"/>
  <c r="J18" i="4"/>
  <c r="L18" i="4"/>
  <c r="N18" i="4"/>
  <c r="J12" i="4"/>
  <c r="L12" i="4"/>
  <c r="N12" i="4"/>
  <c r="L10" i="4"/>
  <c r="H45" i="4"/>
  <c r="H44" i="4"/>
  <c r="L43" i="4"/>
  <c r="H19" i="16"/>
  <c r="N29" i="4"/>
  <c r="C65" i="17"/>
  <c r="D42" i="17"/>
  <c r="C19" i="17"/>
  <c r="D19" i="17" s="1"/>
  <c r="C18" i="17"/>
  <c r="D18" i="17" s="1"/>
  <c r="C17" i="17"/>
  <c r="D17" i="17" s="1"/>
  <c r="D10" i="17"/>
  <c r="C11" i="17"/>
  <c r="D11" i="17" s="1"/>
  <c r="C12" i="17"/>
  <c r="D12" i="17" s="1"/>
  <c r="C13" i="17"/>
  <c r="D13" i="17" s="1"/>
  <c r="H9" i="16"/>
  <c r="H15" i="16"/>
  <c r="D64" i="17"/>
  <c r="D48" i="17"/>
  <c r="D47" i="17"/>
  <c r="D43" i="17"/>
  <c r="D44" i="17" s="1"/>
  <c r="D38" i="17"/>
  <c r="D37" i="17"/>
  <c r="D36" i="17"/>
  <c r="D35" i="17"/>
  <c r="D34" i="17"/>
  <c r="D33" i="17"/>
  <c r="D28" i="17"/>
  <c r="D27" i="17"/>
  <c r="D26" i="17"/>
  <c r="D25" i="17"/>
  <c r="D24" i="17"/>
  <c r="D23" i="17"/>
  <c r="F36" i="16"/>
  <c r="J40" i="4"/>
  <c r="J39" i="4"/>
  <c r="N37" i="4"/>
  <c r="J35" i="4"/>
  <c r="J34" i="4"/>
  <c r="J33" i="4"/>
  <c r="J26" i="4"/>
  <c r="J24" i="4"/>
  <c r="N23" i="4"/>
  <c r="J22" i="4"/>
  <c r="L21" i="4"/>
  <c r="J20" i="4"/>
  <c r="N19" i="4"/>
  <c r="N17" i="4"/>
  <c r="L16" i="4"/>
  <c r="N15" i="4"/>
  <c r="J14" i="4"/>
  <c r="N13" i="4"/>
  <c r="L11" i="4"/>
  <c r="N9" i="4"/>
  <c r="J8" i="4"/>
  <c r="L14" i="4"/>
  <c r="N34" i="4"/>
  <c r="J38" i="4"/>
  <c r="J11" i="4"/>
  <c r="N38" i="4"/>
  <c r="N16" i="4"/>
  <c r="F20" i="8"/>
  <c r="I7" i="5"/>
  <c r="I8" i="5"/>
  <c r="I9" i="5"/>
  <c r="I10" i="5"/>
  <c r="I11" i="5"/>
  <c r="I12" i="5"/>
  <c r="I13" i="5"/>
  <c r="I14" i="5"/>
  <c r="I15" i="5"/>
  <c r="I16" i="5"/>
  <c r="I17" i="5"/>
  <c r="I18" i="5"/>
  <c r="I19" i="5"/>
  <c r="I20" i="5"/>
  <c r="I21" i="5"/>
  <c r="I22" i="5"/>
  <c r="I23" i="5"/>
  <c r="I24" i="5"/>
  <c r="G8" i="6"/>
  <c r="G9" i="6"/>
  <c r="G10" i="6"/>
  <c r="G11" i="6"/>
  <c r="G12" i="6"/>
  <c r="G13" i="6"/>
  <c r="G14" i="6"/>
  <c r="G15" i="6"/>
  <c r="G16" i="6"/>
  <c r="G17" i="6"/>
  <c r="G18" i="6"/>
  <c r="G19" i="6"/>
  <c r="G20" i="6"/>
  <c r="G21" i="6"/>
  <c r="G22" i="6"/>
  <c r="G23" i="6"/>
  <c r="G24" i="6"/>
  <c r="G25" i="6"/>
  <c r="G26" i="6"/>
  <c r="G27" i="6"/>
  <c r="F32" i="8"/>
  <c r="F33" i="8"/>
  <c r="F34" i="8"/>
  <c r="F35" i="8"/>
  <c r="F36" i="8"/>
  <c r="F37" i="8"/>
  <c r="G8" i="7"/>
  <c r="M13" i="8"/>
  <c r="G9" i="7"/>
  <c r="G10" i="7"/>
  <c r="G11" i="7"/>
  <c r="G12" i="7"/>
  <c r="G13" i="7"/>
  <c r="G14" i="7"/>
  <c r="G15" i="7"/>
  <c r="G16" i="7"/>
  <c r="G17" i="7"/>
  <c r="G18" i="7"/>
  <c r="G19" i="7"/>
  <c r="G20" i="7"/>
  <c r="G21" i="7"/>
  <c r="G22" i="7"/>
  <c r="G23" i="7"/>
  <c r="M13" i="7"/>
  <c r="G24" i="7"/>
  <c r="G25" i="7"/>
  <c r="G26" i="7"/>
  <c r="G27" i="7"/>
  <c r="N13" i="6"/>
  <c r="M8" i="5"/>
  <c r="G39" i="1"/>
  <c r="H54" i="1"/>
  <c r="N24" i="4"/>
  <c r="N21" i="4"/>
  <c r="N11" i="4"/>
  <c r="L23" i="4"/>
  <c r="J16" i="4"/>
  <c r="N14" i="4"/>
  <c r="L9" i="4"/>
  <c r="N22" i="4"/>
  <c r="N10" i="4"/>
  <c r="L24" i="4"/>
  <c r="L22" i="4"/>
  <c r="L26" i="4"/>
  <c r="N26" i="4"/>
  <c r="N40" i="4"/>
  <c r="J9" i="4"/>
  <c r="N33" i="4"/>
  <c r="J10" i="4"/>
  <c r="J13" i="4"/>
  <c r="N20" i="4"/>
  <c r="J15" i="4"/>
  <c r="J21" i="4"/>
  <c r="N8" i="4"/>
  <c r="L8" i="4"/>
  <c r="L13" i="4"/>
  <c r="L15" i="4"/>
  <c r="J17" i="4"/>
  <c r="L20" i="4"/>
  <c r="J23" i="4"/>
  <c r="L25" i="4"/>
  <c r="L17" i="4"/>
  <c r="N25" i="4"/>
  <c r="J37" i="4"/>
  <c r="N39" i="4"/>
  <c r="N35" i="4"/>
  <c r="L45" i="4" l="1"/>
  <c r="J45" i="4"/>
  <c r="L44" i="4"/>
  <c r="J44" i="4"/>
  <c r="G28" i="6"/>
  <c r="H13" i="16" s="1"/>
  <c r="N43" i="4"/>
  <c r="F38" i="8"/>
  <c r="F42" i="8" s="1"/>
  <c r="H21" i="16" s="1"/>
  <c r="N44" i="4"/>
  <c r="D20" i="17"/>
  <c r="D39" i="17"/>
  <c r="I25" i="5"/>
  <c r="H11" i="16" s="1"/>
  <c r="D29" i="17"/>
  <c r="G28" i="7"/>
  <c r="H17" i="16" s="1"/>
  <c r="J50" i="4"/>
  <c r="H4" i="16" s="1"/>
  <c r="D49" i="17"/>
  <c r="D14" i="17"/>
  <c r="A43" i="16"/>
  <c r="C73" i="17"/>
  <c r="L50" i="4"/>
  <c r="H6" i="16" s="1"/>
  <c r="N45" i="4"/>
  <c r="N1" i="16" l="1"/>
  <c r="N50" i="4"/>
  <c r="H7" i="16" s="1"/>
  <c r="H24" i="16" s="1"/>
  <c r="H27" i="16" s="1"/>
  <c r="D51" i="17"/>
  <c r="D57" i="17"/>
  <c r="D58" i="17" l="1"/>
  <c r="D60" i="17" s="1"/>
  <c r="D62" i="17" s="1"/>
  <c r="H31" i="16"/>
  <c r="D67" i="17" l="1"/>
  <c r="C63" i="17"/>
  <c r="H33" i="16"/>
  <c r="F34" i="16" s="1"/>
  <c r="D68" i="17" l="1"/>
  <c r="H37" i="16"/>
  <c r="D71" i="17" l="1"/>
  <c r="D73" i="17" s="1"/>
  <c r="D75" i="17" s="1"/>
  <c r="H41" i="16"/>
  <c r="H39" i="16"/>
  <c r="H42" i="16" l="1"/>
  <c r="H43" i="16" s="1"/>
  <c r="H45"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Verwaltung</author>
  </authors>
  <commentList>
    <comment ref="C5" authorId="0" shapeId="0" xr:uid="{00000000-0006-0000-0300-000001000000}">
      <text>
        <r>
          <rPr>
            <b/>
            <sz val="8"/>
            <color indexed="81"/>
            <rFont val="Tahoma"/>
            <family val="2"/>
          </rPr>
          <t>Verwaltung:</t>
        </r>
        <r>
          <rPr>
            <sz val="8"/>
            <color indexed="81"/>
            <rFont val="Tahoma"/>
            <family val="2"/>
          </rPr>
          <t xml:space="preserve">
Neueinstellungen ab 11/2006 und übergeleiteter Bestand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Verwaltung</author>
  </authors>
  <commentList>
    <comment ref="C5" authorId="0" shapeId="0" xr:uid="{00000000-0006-0000-0400-000001000000}">
      <text>
        <r>
          <rPr>
            <b/>
            <sz val="8"/>
            <color indexed="81"/>
            <rFont val="Tahoma"/>
            <family val="2"/>
          </rPr>
          <t>Verwaltung:</t>
        </r>
        <r>
          <rPr>
            <sz val="8"/>
            <color indexed="81"/>
            <rFont val="Tahoma"/>
            <family val="2"/>
          </rPr>
          <t xml:space="preserve">
Neueinstellungen ab 11/2006 und übergeleiteter Bestand</t>
        </r>
      </text>
    </comment>
  </commentList>
</comments>
</file>

<file path=xl/sharedStrings.xml><?xml version="1.0" encoding="utf-8"?>
<sst xmlns="http://schemas.openxmlformats.org/spreadsheetml/2006/main" count="780" uniqueCount="466">
  <si>
    <t>Kalkulationsschema für Auftragsforschung und wissenschaftliche Dienstleistung</t>
  </si>
  <si>
    <r>
      <t xml:space="preserve">Bitte übermitteln Sie alle folgenden Blätter nur </t>
    </r>
    <r>
      <rPr>
        <b/>
        <u/>
        <sz val="10"/>
        <color indexed="23"/>
        <rFont val="Arial"/>
        <family val="2"/>
      </rPr>
      <t>ausgedruckt mit Originalunterschrift</t>
    </r>
    <r>
      <rPr>
        <b/>
        <sz val="10"/>
        <color indexed="23"/>
        <rFont val="Arial"/>
        <family val="2"/>
      </rPr>
      <t>!</t>
    </r>
  </si>
  <si>
    <t xml:space="preserve">Liebe Nutzerin, </t>
  </si>
  <si>
    <t>lieber Nutzer,</t>
  </si>
  <si>
    <t>mit dieser Projektkalkulation werden die Vollkosten für ein Drittmittelprojekt berechnet. Diese Vorlage ist so aufgebaut, dass nur noch bestimmte Felder gefüllt werden müssen und am Ende eine komplette</t>
  </si>
  <si>
    <t>Vollkostenrechnung entsteht. Bitte gehen Sie nach folgender Anleitung vor.</t>
  </si>
  <si>
    <t>In den nachfolgenden Tabellenblättern:</t>
  </si>
  <si>
    <t>Personalkosten</t>
  </si>
  <si>
    <t>Gerätenutzungskosten</t>
  </si>
  <si>
    <t>Materialkosten</t>
  </si>
  <si>
    <t xml:space="preserve">Fremdleistungskosten </t>
  </si>
  <si>
    <t>sonstige direkt zurechenbare Kosten</t>
  </si>
  <si>
    <r>
      <t xml:space="preserve">füllen Sie bitte </t>
    </r>
    <r>
      <rPr>
        <b/>
        <sz val="10"/>
        <rFont val="Arial"/>
        <family val="2"/>
      </rPr>
      <t>nur</t>
    </r>
    <r>
      <rPr>
        <sz val="10"/>
        <rFont val="Arial"/>
        <family val="2"/>
      </rPr>
      <t xml:space="preserve"> die für Sie zutreffenden </t>
    </r>
    <r>
      <rPr>
        <b/>
        <sz val="10"/>
        <rFont val="Arial"/>
        <family val="2"/>
      </rPr>
      <t>grün hinterlegten Felder</t>
    </r>
    <r>
      <rPr>
        <sz val="10"/>
        <rFont val="Arial"/>
        <family val="2"/>
      </rPr>
      <t xml:space="preserve"> aus.</t>
    </r>
  </si>
  <si>
    <t>Alle anderen Felder sind gesperrt und können nicht bearbeitet werden.</t>
  </si>
  <si>
    <t>Im letzten Tabellenblatt</t>
  </si>
  <si>
    <t>Gesamtkosten</t>
  </si>
  <si>
    <t>werden automatisch die Vollkosten der Kalkulation errechnet.</t>
  </si>
  <si>
    <t>Auf jedem Tabellenblatt ist ein Beispieleintrag abgebildet, der Ihnen als Muster dienen kann. Hier exemplarisch das Beispiel aus dem Tabellenblatt Materialkosten:</t>
  </si>
  <si>
    <t>Beispiel</t>
  </si>
  <si>
    <t>eingesetzes Material       z. B. Chemikalien</t>
  </si>
  <si>
    <t>Preis einer Einheit in Euro</t>
  </si>
  <si>
    <t>Einheit</t>
  </si>
  <si>
    <t>Menge</t>
  </si>
  <si>
    <t>Gesamt- preis                 in Euro</t>
  </si>
  <si>
    <t>Acetylsalicylsäure</t>
  </si>
  <si>
    <t>g</t>
  </si>
  <si>
    <t xml:space="preserve">Das Feld "Gesamtpreis in Euro" berechnet sich automatisch aus den Feldern "Preis einer Einheit in Euro" und </t>
  </si>
  <si>
    <r>
      <t xml:space="preserve">"Menge" sobald </t>
    </r>
    <r>
      <rPr>
        <b/>
        <sz val="10"/>
        <color indexed="57"/>
        <rFont val="Arial"/>
        <family val="2"/>
      </rPr>
      <t>beide</t>
    </r>
    <r>
      <rPr>
        <sz val="10"/>
        <rFont val="Arial"/>
        <family val="2"/>
      </rPr>
      <t xml:space="preserve"> Felder gefüllt sind.</t>
    </r>
  </si>
  <si>
    <t>Bitte füllen Sie die grün hinterlegten Felder gemäß Ihrer Beschriftung und Ihrem Projektbedarf aus.</t>
  </si>
  <si>
    <t>Alle anderen Felder bleiben entweder unverändert oder berechnen sich nach Eingabe aller wichtigen Felder von selbst. Gelb hinterlegte Felder sind Summenfelder.</t>
  </si>
  <si>
    <t>Sollten Sie zu den einzelnen Tabellenblättern dennoch Fragen haben, befinden sich auf allen Tabellenblättern die jeweiligen Ansprechpartner mit Kontaktinformationen.</t>
  </si>
  <si>
    <r>
      <t xml:space="preserve">Da auf dem Tabellenblatt </t>
    </r>
    <r>
      <rPr>
        <i/>
        <sz val="10"/>
        <rFont val="Arial"/>
        <family val="2"/>
      </rPr>
      <t>Gesamtkalkulation</t>
    </r>
    <r>
      <rPr>
        <sz val="10"/>
        <rFont val="Arial"/>
        <family val="2"/>
      </rPr>
      <t xml:space="preserve"> die Mehrwertsteuer hinzugerechnet wird, müssen alle eingetragenen Beträge </t>
    </r>
    <r>
      <rPr>
        <b/>
        <sz val="10"/>
        <color indexed="57"/>
        <rFont val="Arial"/>
        <family val="2"/>
      </rPr>
      <t>Nettobeträge</t>
    </r>
    <r>
      <rPr>
        <sz val="10"/>
        <rFont val="Arial"/>
        <family val="2"/>
      </rPr>
      <t xml:space="preserve"> sein. Sollten Sie nur die Bruttobeträge zur Hand haben</t>
    </r>
  </si>
  <si>
    <t>können Sie den Nettobetrag nach folgender Formel berechnen:</t>
  </si>
  <si>
    <t>Bruttobetrag</t>
  </si>
  <si>
    <t xml:space="preserve">geteilt durch </t>
  </si>
  <si>
    <t>mal</t>
  </si>
  <si>
    <t xml:space="preserve">ist gleich </t>
  </si>
  <si>
    <t>Nettobetrag</t>
  </si>
  <si>
    <t>/</t>
  </si>
  <si>
    <t>*</t>
  </si>
  <si>
    <t>=</t>
  </si>
  <si>
    <t>Beispiel 1</t>
  </si>
  <si>
    <t>Beispiel 2</t>
  </si>
  <si>
    <t>Hinweis zu Zahlungsmodalitäten:</t>
  </si>
  <si>
    <t>Nach bayerischer Haushaltsordnung soll die Universität Bayreuth bei ihren wirtschaftlichen Projekten nicht in Vorleistung gehen.</t>
  </si>
  <si>
    <t>Daher sollen Zahlungen weitestgehends vor Beginn der Tätigkeit erfolgen.</t>
  </si>
  <si>
    <t>Nur in begründeten Einzelfällen ist ggfs. eine andere Regelung möglich.</t>
  </si>
  <si>
    <t>Grau markierte Felder sind vom Antragsteller auszufüllen!</t>
  </si>
  <si>
    <t>Daten zum Auftrag / zur Kalkulation - wissenschaftliche Dienstleistungen</t>
  </si>
  <si>
    <t>Partner EU (ohne USt)</t>
  </si>
  <si>
    <t>Partner Hochschule Bayern (ohne Ust)</t>
  </si>
  <si>
    <t xml:space="preserve">Beauftragender Partner: </t>
  </si>
  <si>
    <t>Partner Drittland (ohne Ust)</t>
  </si>
  <si>
    <r>
      <t xml:space="preserve">(Unternehmen / Firma): </t>
    </r>
    <r>
      <rPr>
        <i/>
        <sz val="11"/>
        <color rgb="FFFF0000"/>
        <rFont val="Arial"/>
        <family val="2"/>
      </rPr>
      <t>Bitte vollständige Anschrift angeben!</t>
    </r>
  </si>
  <si>
    <t xml:space="preserve">Partner Inland (mit USt) 19% </t>
  </si>
  <si>
    <t>PARTNERLAND / USt</t>
  </si>
  <si>
    <r>
      <rPr>
        <sz val="16"/>
        <rFont val="Wingdings 3"/>
        <family val="1"/>
        <charset val="2"/>
      </rPr>
      <t xml:space="preserve">Å </t>
    </r>
    <r>
      <rPr>
        <sz val="16"/>
        <rFont val="Arial"/>
        <family val="2"/>
      </rPr>
      <t>Bitte auswählen!</t>
    </r>
  </si>
  <si>
    <t>Partner EU (mit USt) 19%</t>
  </si>
  <si>
    <t xml:space="preserve">Partner Drittland (mit USt) 19% </t>
  </si>
  <si>
    <t>Unternehmer-Nr.:/USt- Ident-Nr.:</t>
  </si>
  <si>
    <t>(Nur bei Partnern aus EU oder Drittland)</t>
  </si>
  <si>
    <t>Lehrstuhl/Einrichtung</t>
  </si>
  <si>
    <t>Ansprechpartner/in Lehrstuhl:</t>
  </si>
  <si>
    <t>Projektbezeichnung</t>
  </si>
  <si>
    <t>(genaue Bezeichnung des Auftrags)</t>
  </si>
  <si>
    <t xml:space="preserve">Anlagen immer mit einzureichen: </t>
  </si>
  <si>
    <t>Erklärung zur steuerlichen Behandlung</t>
  </si>
  <si>
    <t>Drittmittelanzeige</t>
  </si>
  <si>
    <t>Erklärung zum Forschungs- / Drittmittelvorhaben</t>
  </si>
  <si>
    <t>I.</t>
  </si>
  <si>
    <t>Angaben des ausführenden Lehrstuhls/Einrichtung zum Projekt</t>
  </si>
  <si>
    <t>Kalkulation zum Angebot/Vertrag vom:</t>
  </si>
  <si>
    <t>Kalkulation zur Direktbeauftragung vom:</t>
  </si>
  <si>
    <t>Angabe der Kostenstelle für Materialpauschale:</t>
  </si>
  <si>
    <t>Angabe der Restmittelkostenstelle:</t>
  </si>
  <si>
    <t>Hier nur ankreuzen wenn Projektarbeiten zum Zeitpunkt der Einreichung der Kalkulationsunterlagen bereits beendet waren (nur bei Direktbeauftragung von Kleinprojekten über Sammelkostenstellen möglich):</t>
  </si>
  <si>
    <t>Die Arbeiten sind vollständig ausgeführt. Die Rechnung kann gestellt werden.</t>
  </si>
  <si>
    <t>Die in der Kalkulation angegebenen Stunden für Stammpersonal und Gerätenutzung sind wie kalkuliert angefallen</t>
  </si>
  <si>
    <t>Der Partner hat für die Direktbeauftragung die AGB der Universität Bayreuth akzeptiert. (Nachweis am Lehrstuhl vorhalten)</t>
  </si>
  <si>
    <t>Bayreuth, den</t>
  </si>
  <si>
    <t>Unterschrift  Projektverantwortliche/r</t>
  </si>
  <si>
    <t xml:space="preserve">         Name in Druckbuchstaben</t>
  </si>
  <si>
    <t>II.</t>
  </si>
  <si>
    <t>An das Referat II 1.1.5 (vom Referat auszufüllen)</t>
  </si>
  <si>
    <t>II.1  Haushaltsrechtliche Prüfung</t>
  </si>
  <si>
    <r>
      <t xml:space="preserve">mit der Bitte um </t>
    </r>
    <r>
      <rPr>
        <b/>
        <sz val="12"/>
        <rFont val="Arial"/>
        <family val="2"/>
      </rPr>
      <t>rechnerische</t>
    </r>
    <r>
      <rPr>
        <sz val="12"/>
        <rFont val="Arial"/>
        <family val="2"/>
      </rPr>
      <t xml:space="preserve"> Prüfung des Auftrages / Angebotes hinsichtlich der</t>
    </r>
  </si>
  <si>
    <t>Kalkulation (Vollkosten)      -&gt;evtl. ÄNDERUNGEN SIEHE BEIBLATT</t>
  </si>
  <si>
    <t>Festlegung des "Overhead-Anteils" für allgemeine Kosten (z. B. Arbeitsplatz- und Gemeinkosten,</t>
  </si>
  <si>
    <t>Personalaufwand in Infrastruktureinrichtungen der Universität etc.):</t>
  </si>
  <si>
    <t>des Rechnungsbetrages</t>
  </si>
  <si>
    <t xml:space="preserve">Projektkostenstelle: </t>
  </si>
  <si>
    <t>VM-Nummer:</t>
  </si>
  <si>
    <t>II.2 Steuerrechtliche Prüfung</t>
  </si>
  <si>
    <t>Es besteht   UMSATZSTEUERPFLICHT</t>
  </si>
  <si>
    <t xml:space="preserve">          Ja</t>
  </si>
  <si>
    <t xml:space="preserve">          Nein</t>
  </si>
  <si>
    <t>zu berücksichtigender Steuersatz:</t>
  </si>
  <si>
    <t>_____</t>
  </si>
  <si>
    <t>Bei EU-Partnern, Ident.-Nr.:    angegeben:</t>
  </si>
  <si>
    <t xml:space="preserve">ja                    </t>
  </si>
  <si>
    <t>geprüft und ok:</t>
  </si>
  <si>
    <t>ja</t>
  </si>
  <si>
    <t xml:space="preserve">Bei Partnern außerhalb der EU, Unternehmer-Nr.      </t>
  </si>
  <si>
    <t>angegeben:</t>
  </si>
  <si>
    <t>Die Einordnung in BgA (AF/WD) erfolgt nach Angabe des Lehrstuhls gem. steuerlicher Bescheinigung</t>
  </si>
  <si>
    <t xml:space="preserve">    (Unterschrift Sachbearbeiter/in)</t>
  </si>
  <si>
    <t>Kalkulation von wissenschaftlichen Dienstleistungen</t>
  </si>
  <si>
    <t>nur für Kleinprojekte bis 10.000 € Netto-Angebotspreis</t>
  </si>
  <si>
    <t>A3</t>
  </si>
  <si>
    <t>A4</t>
  </si>
  <si>
    <t>Auftraggeber / Firma</t>
  </si>
  <si>
    <t>A5</t>
  </si>
  <si>
    <t>Ansprechpartner</t>
  </si>
  <si>
    <t>A6</t>
  </si>
  <si>
    <t>Thema</t>
  </si>
  <si>
    <t>A6+Z</t>
  </si>
  <si>
    <t>Mitarbeiter</t>
  </si>
  <si>
    <t>A7</t>
  </si>
  <si>
    <t>ERLÄUTERUNGEN:</t>
  </si>
  <si>
    <t>A8</t>
  </si>
  <si>
    <t>Einsatz von Stammpersonal</t>
  </si>
  <si>
    <t>Dauer</t>
  </si>
  <si>
    <t>Preis</t>
  </si>
  <si>
    <t>Kosten</t>
  </si>
  <si>
    <t>873/874</t>
  </si>
  <si>
    <t>A9</t>
  </si>
  <si>
    <t>Arbeitsplatzkosten und Grundausstattung</t>
  </si>
  <si>
    <t xml:space="preserve">A9+Z </t>
  </si>
  <si>
    <t>A10</t>
  </si>
  <si>
    <t>A10+Z</t>
  </si>
  <si>
    <t>A11</t>
  </si>
  <si>
    <t>Summe</t>
  </si>
  <si>
    <t>A12</t>
  </si>
  <si>
    <t>A13</t>
  </si>
  <si>
    <t>Personal Einstellungen (direkt auf Projekt)</t>
  </si>
  <si>
    <t>812/822</t>
  </si>
  <si>
    <t>A13+Z</t>
  </si>
  <si>
    <t>A14</t>
  </si>
  <si>
    <t>A15</t>
  </si>
  <si>
    <t>A16</t>
  </si>
  <si>
    <t>A16+Z</t>
  </si>
  <si>
    <t>A13 Akad.Rat</t>
  </si>
  <si>
    <t>Einsatz von Geräten</t>
  </si>
  <si>
    <t>W1</t>
  </si>
  <si>
    <t>Großgeräte und Sondermaschinen müssen einzeln kalkuliert</t>
  </si>
  <si>
    <t>W2</t>
  </si>
  <si>
    <t>werden</t>
  </si>
  <si>
    <t>W3</t>
  </si>
  <si>
    <t>C1 kw</t>
  </si>
  <si>
    <t>C2 kw</t>
  </si>
  <si>
    <t>C3 kw</t>
  </si>
  <si>
    <t>C4 kw</t>
  </si>
  <si>
    <t>E1</t>
  </si>
  <si>
    <t>E2</t>
  </si>
  <si>
    <t>Einsatz von Material</t>
  </si>
  <si>
    <t>943/944</t>
  </si>
  <si>
    <t>E2Ü</t>
  </si>
  <si>
    <t xml:space="preserve">Material ist grundsätzlich einzeln zu bewerten, wenn Erfahrungs- </t>
  </si>
  <si>
    <t>E3</t>
  </si>
  <si>
    <t xml:space="preserve">werte vorliegen kann auch eine "Materialpauschale" </t>
  </si>
  <si>
    <t>E4</t>
  </si>
  <si>
    <t xml:space="preserve">bis maximal 350,00 EUR zum Ansatz kommen </t>
  </si>
  <si>
    <t>E5</t>
  </si>
  <si>
    <t>E6</t>
  </si>
  <si>
    <t>E7</t>
  </si>
  <si>
    <t>E8</t>
  </si>
  <si>
    <t>E9</t>
  </si>
  <si>
    <t>E10</t>
  </si>
  <si>
    <t>E11</t>
  </si>
  <si>
    <t>Fremdleistungen</t>
  </si>
  <si>
    <t>E12</t>
  </si>
  <si>
    <t>E13</t>
  </si>
  <si>
    <t>E13Ü</t>
  </si>
  <si>
    <t>E14</t>
  </si>
  <si>
    <t>E15</t>
  </si>
  <si>
    <t>Sonstiges</t>
  </si>
  <si>
    <t>E15Ü</t>
  </si>
  <si>
    <t>Sonstige dem Auftrag direkt zurechenbare Kosten:</t>
  </si>
  <si>
    <r>
      <t xml:space="preserve">SHK </t>
    </r>
    <r>
      <rPr>
        <sz val="10"/>
        <rFont val="Arial"/>
        <family val="2"/>
      </rPr>
      <t>student. Hilfskräfte</t>
    </r>
  </si>
  <si>
    <r>
      <t xml:space="preserve">nwHK </t>
    </r>
    <r>
      <rPr>
        <sz val="10"/>
        <rFont val="Arial"/>
        <family val="2"/>
      </rPr>
      <t>student. Hilfskräfte</t>
    </r>
  </si>
  <si>
    <r>
      <t xml:space="preserve">SHKBachelor </t>
    </r>
    <r>
      <rPr>
        <sz val="10"/>
        <rFont val="Arial"/>
        <family val="2"/>
      </rPr>
      <t>student. Hilfskräfte</t>
    </r>
  </si>
  <si>
    <r>
      <t>å</t>
    </r>
    <r>
      <rPr>
        <b/>
        <sz val="11"/>
        <rFont val="Arial"/>
        <family val="2"/>
      </rPr>
      <t xml:space="preserve"> Zwischensumme</t>
    </r>
  </si>
  <si>
    <r>
      <t xml:space="preserve">hier </t>
    </r>
    <r>
      <rPr>
        <b/>
        <sz val="12"/>
        <rFont val="Arial"/>
        <family val="2"/>
      </rPr>
      <t xml:space="preserve">"Ja" </t>
    </r>
    <r>
      <rPr>
        <sz val="10"/>
        <rFont val="Arial"/>
        <family val="2"/>
      </rPr>
      <t>eintragen</t>
    </r>
  </si>
  <si>
    <r>
      <t>Preissteigerungen während der Laufzeit
inklusive Tariferhöhungen, bitte mit</t>
    </r>
    <r>
      <rPr>
        <b/>
        <sz val="12"/>
        <rFont val="Arial"/>
        <family val="2"/>
      </rPr>
      <t xml:space="preserve"> </t>
    </r>
    <r>
      <rPr>
        <b/>
        <sz val="9"/>
        <rFont val="Arial"/>
        <family val="2"/>
      </rPr>
      <t>Eintrag</t>
    </r>
    <r>
      <rPr>
        <b/>
        <sz val="12"/>
        <rFont val="Arial"/>
        <family val="2"/>
      </rPr>
      <t xml:space="preserve"> "Ja" </t>
    </r>
    <r>
      <rPr>
        <b/>
        <sz val="9"/>
        <rFont val="Arial"/>
        <family val="2"/>
      </rPr>
      <t>bestätigen</t>
    </r>
  </si>
  <si>
    <r>
      <t>å</t>
    </r>
    <r>
      <rPr>
        <b/>
        <sz val="11"/>
        <rFont val="Arial"/>
        <family val="2"/>
      </rPr>
      <t xml:space="preserve"> Selbstkosten </t>
    </r>
  </si>
  <si>
    <t>Gewinn in Prozent</t>
  </si>
  <si>
    <t xml:space="preserve">                                                                                   Empfohlener Gewinn 3 % - 5 %                                                  Gewinne über 10 % müssen begründet werden</t>
  </si>
  <si>
    <t>Nettoüberschuss vorweg verfügbar</t>
  </si>
  <si>
    <t>Gewinn in EURO (alternativ)</t>
  </si>
  <si>
    <t>Nettosumme vor Overhead</t>
  </si>
  <si>
    <t>Overhead</t>
  </si>
  <si>
    <t>im Hundert</t>
  </si>
  <si>
    <t>Ertragssteuerumlageanteil</t>
  </si>
  <si>
    <t>Gesamt-Nettosumme</t>
  </si>
  <si>
    <t>Brutto-Angebotspreis des Auftrags</t>
  </si>
  <si>
    <t>Auf Dienstpflicht wird bestätigt:</t>
  </si>
  <si>
    <t>Mir ist bekannt, dass nach dem EU-Gemeinschaftsrahmen für staatliche Beihilfen für Forschung,</t>
  </si>
  <si>
    <t xml:space="preserve">Entwicklung und Innovation (Beihilferahmen) zur Vermeidung von Wettbewerbsverzerrungen eine </t>
  </si>
  <si>
    <t xml:space="preserve">Trennung von wirtschaftlichen und nichtwirtschaftlichen Tätigkeiten erforderlich ist und insoweit eine </t>
  </si>
  <si>
    <t>Quersubventionierung von wirtschaftlicher Tätigkeit aus staatlichen Haushaltsmitteln unzulässig ist.</t>
  </si>
  <si>
    <t>Mir ist bekannt, dass nach bayerischer Haushaltsdordnung, die Universität Bayreuth nicht in</t>
  </si>
  <si>
    <t>Vorleistung gehen soll.</t>
  </si>
  <si>
    <t xml:space="preserve">Daher sollen Zahlungen weitestgehends vor Beginn der Tätigkeit erfolgen. </t>
  </si>
  <si>
    <t>Nur in begründeten Einzelfällen ist ggfs. eine andere Regelung möglich</t>
  </si>
  <si>
    <t>Das obige Projekt / die obige Kalkulation trägt dem Rechnung und wurde deshalb im Zuge der</t>
  </si>
  <si>
    <t>Angebotserstellung nach einer Vollkostenkalkulation bzw. nach marktüblichen Preisen kalkuliert.</t>
  </si>
  <si>
    <t xml:space="preserve">Ferner wird sichergestellt, dass alle Ausgaben für das Projekt nachweisbar / spezifizierbar sind. </t>
  </si>
  <si>
    <t xml:space="preserve">Entsprechende Aufzeichnungen werden geführt und für eine evtl. Prüfung durch die EU nach den </t>
  </si>
  <si>
    <t>einschlägigen Aufbewahrungsbestimmungen aufbewahrt.</t>
  </si>
  <si>
    <t>________________________________</t>
  </si>
  <si>
    <t>___________________________________</t>
  </si>
  <si>
    <t>Datum,  Unterschrift des Projektleiters</t>
  </si>
  <si>
    <t>Datum, Unterschrift des Lehrstuhlinhabers</t>
  </si>
  <si>
    <t>(falls nicht gleichzeitig Projektleiter)</t>
  </si>
  <si>
    <t>A. Auftragsspezifische Personalkosten</t>
  </si>
  <si>
    <t>Personalvollkosten ab 01. Februar 2025</t>
  </si>
  <si>
    <t>Nur grün hinterlegte Felder ausfüllen !</t>
  </si>
  <si>
    <t>Beamte</t>
  </si>
  <si>
    <t>Angestellte</t>
  </si>
  <si>
    <t>Personalvollkosten_Beamte/Angestellte</t>
  </si>
  <si>
    <t>BesGr</t>
  </si>
  <si>
    <t>Stufe</t>
  </si>
  <si>
    <t xml:space="preserve">Entgelt-gruppe </t>
  </si>
  <si>
    <t>Entgeltgruppe (Übergeleiteter Bestand)</t>
  </si>
  <si>
    <t>Jahr (in Euro)</t>
  </si>
  <si>
    <t>Stunde (in Euro)</t>
  </si>
  <si>
    <t>8*</t>
  </si>
  <si>
    <t>E2, E2Ü, E1</t>
  </si>
  <si>
    <t>Endstufe</t>
  </si>
  <si>
    <t>E5, E4</t>
  </si>
  <si>
    <t>E7, E6</t>
  </si>
  <si>
    <t>E13, E13Ü</t>
  </si>
  <si>
    <t>E14, E13Ü</t>
  </si>
  <si>
    <t>Akad. Rat a. Z./Stufe 6</t>
  </si>
  <si>
    <t>ohne Leistungs-
bezüge</t>
  </si>
  <si>
    <t>Studentische Hilfskräfte</t>
  </si>
  <si>
    <t>Personalvollkosten ab Februar 2025</t>
  </si>
  <si>
    <t>ANMERKUNGEN:</t>
  </si>
  <si>
    <t>Personaldurchschnittskosten</t>
  </si>
  <si>
    <t>Personalvollkosten</t>
  </si>
  <si>
    <t>Std.</t>
  </si>
  <si>
    <r>
      <rPr>
        <b/>
        <sz val="12"/>
        <rFont val="Arial"/>
        <family val="2"/>
      </rPr>
      <t>Beamte Stamm</t>
    </r>
    <r>
      <rPr>
        <b/>
        <sz val="8"/>
        <rFont val="Arial"/>
        <family val="2"/>
      </rPr>
      <t>personal = vorhandenes Lehrstuhlpersonal, das über eine Haushaltsstelle finanziert wird</t>
    </r>
  </si>
  <si>
    <r>
      <rPr>
        <b/>
        <sz val="11"/>
        <rFont val="Arial"/>
        <family val="2"/>
      </rPr>
      <t>Angestellte Stamm</t>
    </r>
    <r>
      <rPr>
        <b/>
        <sz val="8"/>
        <rFont val="Arial"/>
        <family val="2"/>
      </rPr>
      <t>personal = vorhandenes Lehrstuhlpersonal, das über eine Haushaltsstelle finanziert wird</t>
    </r>
  </si>
  <si>
    <r>
      <rPr>
        <b/>
        <sz val="10"/>
        <rFont val="Arial"/>
        <family val="2"/>
      </rPr>
      <t>Direkteinstellungen</t>
    </r>
    <r>
      <rPr>
        <b/>
        <sz val="8"/>
        <rFont val="Arial"/>
        <family val="2"/>
      </rPr>
      <t>= Personal, welches eigens für die Durchführung des Vorhabens auf das Projekt eingestellt wird</t>
    </r>
  </si>
  <si>
    <t>Die Arbeitsplatzkosten und die Grundausstattung sind bei den Personalvollkosten mit eingerechnet.</t>
  </si>
  <si>
    <t>Entgelt-gruppe (Über-geleiteter Bestand)</t>
  </si>
  <si>
    <t>Jahr                      (in Euro)</t>
  </si>
  <si>
    <t>Stunde                   (in Euro)</t>
  </si>
  <si>
    <t>Stunden pro Jahr</t>
  </si>
  <si>
    <t>Stunden pro Monat</t>
  </si>
  <si>
    <t>Stunden pro Tag</t>
  </si>
  <si>
    <t>Forschungs- und Lehrzulage</t>
  </si>
  <si>
    <r>
      <t xml:space="preserve">Professoren und Professorinnen, die im Hauptamt Mittel privater Dritter für Forschungs- und Lehrvorhaben der Hochschule einwerben und diese Vorhaben durchführen, kann für die Dauer des Drittmittelflusses aus diesen Mitteln eine nicht ruhegeltfähige Zulage gewährt werden, </t>
    </r>
    <r>
      <rPr>
        <b/>
        <u/>
        <sz val="10"/>
        <rFont val="Arial"/>
        <family val="2"/>
      </rPr>
      <t>soweit der Drittmittelgeber mit der Vergabe einverstanden ist</t>
    </r>
    <r>
      <rPr>
        <sz val="10"/>
        <rFont val="Arial"/>
        <family val="2"/>
      </rPr>
      <t>. Eine Zulage darf nur gewährt werden, soweit neben den übrigen Kosten des Forschungs- und Lehrvorhabens auch die für die Gewährung der Forschungs- und Lehrzulage aufzuwendenden Beträge durch die Drittmittel gedeckt sind. Forschungs- und Lehrzulagen dürfen innerhalb eines Kalenderjahres insgesamt 100 v. H. des Jahresgrundgehalts des Professors oder der Professorin nicht überschreiten. Die Lehrtätigkeit im Rahmen eines Lehrvorhabens, für das eine Lehrzulage gewährt wird, ist auf die jeweils obliegende Lehrverpflichtung nicht anzurechnen.                           Anm.: Die BayHLeistBV ist nur auf Professoren in der W-Besoldung anwendbar.</t>
    </r>
  </si>
  <si>
    <t xml:space="preserve">Sonderfall:  Kalkulierte Personalkosten </t>
  </si>
  <si>
    <t>Betrag in Personalabteilung zu erfragen und zu bestätigen</t>
  </si>
  <si>
    <t>zuzüglich 30% arbeitsplatzbezogene Gemeinkosten</t>
  </si>
  <si>
    <t>SHK</t>
  </si>
  <si>
    <t>studentische Hilfskraft</t>
  </si>
  <si>
    <t>nwHK</t>
  </si>
  <si>
    <t>nicht wissenschaftliche Hilfskraft</t>
  </si>
  <si>
    <t>SHKBachelor</t>
  </si>
  <si>
    <t>studentische Hilfskraft Bachelor</t>
  </si>
  <si>
    <r>
      <t xml:space="preserve">Die Stundenangaben bei der Gruppe </t>
    </r>
    <r>
      <rPr>
        <b/>
        <sz val="10"/>
        <rFont val="Arial"/>
        <family val="2"/>
      </rPr>
      <t>studentische</t>
    </r>
    <r>
      <rPr>
        <sz val="10"/>
        <rFont val="Arial"/>
        <family val="2"/>
      </rPr>
      <t xml:space="preserve"> </t>
    </r>
  </si>
  <si>
    <t>Beispiel:</t>
  </si>
  <si>
    <r>
      <t>Hilfskräfte</t>
    </r>
    <r>
      <rPr>
        <sz val="10"/>
        <rFont val="Arial"/>
        <family val="2"/>
      </rPr>
      <t xml:space="preserve"> sind </t>
    </r>
    <r>
      <rPr>
        <b/>
        <sz val="10"/>
        <rFont val="Arial"/>
        <family val="2"/>
      </rPr>
      <t>nicht</t>
    </r>
    <r>
      <rPr>
        <sz val="10"/>
        <rFont val="Arial"/>
        <family val="2"/>
      </rPr>
      <t xml:space="preserve"> mit der oben genannten Zahl </t>
    </r>
  </si>
  <si>
    <t>identisch. Bitte geben Sie bei den studentischen</t>
  </si>
  <si>
    <t>Stunden pro Jahr (=39,5x12)</t>
  </si>
  <si>
    <t>Stammpers.Beamte</t>
  </si>
  <si>
    <t>Stammpers. Angest.</t>
  </si>
  <si>
    <t>Direkteinstellungen</t>
  </si>
  <si>
    <t>Hilfskräften die genaue Stundenzahl ein, z. B. 39,5</t>
  </si>
  <si>
    <t>Stunden pro Woche (=39,5/4)</t>
  </si>
  <si>
    <t>Gesamt</t>
  </si>
  <si>
    <t>in Euro</t>
  </si>
  <si>
    <t>Stunden für die Monatsarbeitszeit. Für die Jahres-</t>
  </si>
  <si>
    <t>arbeitszeit dies mal 12, für Wochen geteilt durch 4.</t>
  </si>
  <si>
    <r>
      <t xml:space="preserve">Bitte </t>
    </r>
    <r>
      <rPr>
        <b/>
        <u/>
        <sz val="10"/>
        <rFont val="Arial"/>
        <family val="2"/>
      </rPr>
      <t>alle</t>
    </r>
    <r>
      <rPr>
        <u/>
        <sz val="10"/>
        <rFont val="Arial"/>
        <family val="2"/>
      </rPr>
      <t xml:space="preserve"> Tabellenblätter ausfüllen:</t>
    </r>
  </si>
  <si>
    <t>Fremdleistungskosten</t>
  </si>
  <si>
    <t>Maschinen</t>
  </si>
  <si>
    <t xml:space="preserve">Vollkosten </t>
  </si>
  <si>
    <t>Stunden</t>
  </si>
  <si>
    <t>Anlagekosten</t>
  </si>
  <si>
    <t>Inventar- nummer</t>
  </si>
  <si>
    <t>pro Stunde in Euro</t>
  </si>
  <si>
    <r>
      <t>in Euro</t>
    </r>
    <r>
      <rPr>
        <b/>
        <sz val="10"/>
        <color indexed="52"/>
        <rFont val="Arial"/>
        <family val="2"/>
      </rPr>
      <t xml:space="preserve">       </t>
    </r>
    <r>
      <rPr>
        <u/>
        <sz val="10"/>
        <color indexed="23"/>
        <rFont val="Arial"/>
        <family val="2"/>
      </rPr>
      <t>(netto)</t>
    </r>
  </si>
  <si>
    <t>Maschine 1</t>
  </si>
  <si>
    <t>Vollkosten</t>
  </si>
  <si>
    <t>Anlagenkosten (in Euro)</t>
  </si>
  <si>
    <t>Maschine 2</t>
  </si>
  <si>
    <t>Maschine 3</t>
  </si>
  <si>
    <t>Die Zahl 40,1 bedeutet z. B. eine Wochenbetriebszeit von 40,06 Stunden, wenn Sie für eine Tätigkeit 90 Minuten brauchen, tragen Sie bei Stunden bitte 1,5 ein.</t>
  </si>
  <si>
    <t>Maschine 4</t>
  </si>
  <si>
    <t>Maschine 5</t>
  </si>
  <si>
    <t>Maschine 6</t>
  </si>
  <si>
    <t>Maschine 7</t>
  </si>
  <si>
    <t>Maschine 8</t>
  </si>
  <si>
    <r>
      <t>In den Gerätenutzungskosten sind bereits mit eingerechnet</t>
    </r>
    <r>
      <rPr>
        <sz val="10"/>
        <rFont val="Arial"/>
        <family val="2"/>
      </rPr>
      <t xml:space="preserve">:                                         </t>
    </r>
    <r>
      <rPr>
        <sz val="10"/>
        <rFont val="Arial"/>
        <family val="2"/>
      </rPr>
      <t>Abschreibung, kalkulatorische Zinsen, tatsächliche Reparaturkosten, Raumkosten nach beanspruchter Fläche, Betriebsstoffe (Gas, Helium, Stickstoffe, Öl, etc.), Verbrauchsmaterial, Wartungs- und Gemeinkosten</t>
    </r>
  </si>
  <si>
    <t>Maschine 9</t>
  </si>
  <si>
    <t>Maschine 10</t>
  </si>
  <si>
    <t>Maschine 11</t>
  </si>
  <si>
    <t>Maschine 12</t>
  </si>
  <si>
    <t>Maschine 13</t>
  </si>
  <si>
    <t>Maschine 14</t>
  </si>
  <si>
    <t>Maschine 15</t>
  </si>
  <si>
    <t>Maschine 16</t>
  </si>
  <si>
    <t>Maschine 17</t>
  </si>
  <si>
    <t>Maschine 18</t>
  </si>
  <si>
    <t>Gerätenutzungskosten Gesamt</t>
  </si>
  <si>
    <t>eingesetztes Material</t>
  </si>
  <si>
    <t>Verbrauchsmaterial, Chemikalien, etc.</t>
  </si>
  <si>
    <r>
      <t>Preis einer Einheit          in Euro</t>
    </r>
    <r>
      <rPr>
        <sz val="10"/>
        <rFont val="Arial"/>
        <family val="2"/>
      </rPr>
      <t xml:space="preserve"> </t>
    </r>
    <r>
      <rPr>
        <sz val="10"/>
        <color indexed="23"/>
        <rFont val="Arial"/>
        <family val="2"/>
      </rPr>
      <t>(</t>
    </r>
    <r>
      <rPr>
        <u/>
        <sz val="10"/>
        <color indexed="23"/>
        <rFont val="Arial"/>
        <family val="2"/>
      </rPr>
      <t>netto</t>
    </r>
    <r>
      <rPr>
        <sz val="10"/>
        <color indexed="23"/>
        <rFont val="Arial"/>
        <family val="2"/>
      </rPr>
      <t>)</t>
    </r>
  </si>
  <si>
    <t>Einheit,         z. B. kg, l, etc.</t>
  </si>
  <si>
    <r>
      <t xml:space="preserve">Gesamt- preis           in Euro </t>
    </r>
    <r>
      <rPr>
        <u/>
        <sz val="10"/>
        <color indexed="23"/>
        <rFont val="Arial"/>
        <family val="2"/>
      </rPr>
      <t>(netto)</t>
    </r>
  </si>
  <si>
    <t>Material ist einzeln zu kalkulieren, kann aber auch pauschal</t>
  </si>
  <si>
    <t>angesetzt werden z.B. "Chemikalien insgesamt"</t>
  </si>
  <si>
    <t>Material 1</t>
  </si>
  <si>
    <t>Material 2</t>
  </si>
  <si>
    <t>Material 3</t>
  </si>
  <si>
    <t>Material 4</t>
  </si>
  <si>
    <t>Material 5</t>
  </si>
  <si>
    <t>Material 6</t>
  </si>
  <si>
    <t>Chemikalien</t>
  </si>
  <si>
    <t>kg</t>
  </si>
  <si>
    <t>Material 7</t>
  </si>
  <si>
    <t>Material 8</t>
  </si>
  <si>
    <t>Material 9</t>
  </si>
  <si>
    <t>l</t>
  </si>
  <si>
    <t>Liter</t>
  </si>
  <si>
    <t>Material 10</t>
  </si>
  <si>
    <t>Kilogramm</t>
  </si>
  <si>
    <t>Material 11</t>
  </si>
  <si>
    <t>Gramm</t>
  </si>
  <si>
    <t>Material 12</t>
  </si>
  <si>
    <t>Material 13</t>
  </si>
  <si>
    <t>Material 14</t>
  </si>
  <si>
    <t>Material 15</t>
  </si>
  <si>
    <t>Material 16</t>
  </si>
  <si>
    <t>Material 17</t>
  </si>
  <si>
    <t>Material 18</t>
  </si>
  <si>
    <t>Material 19</t>
  </si>
  <si>
    <t>Material 20</t>
  </si>
  <si>
    <t>Materialkosten Gesamt</t>
  </si>
  <si>
    <t>Pauschale Kleinmaterial (bis 350,00 EUR)</t>
  </si>
  <si>
    <t xml:space="preserve">Fremdleistung </t>
  </si>
  <si>
    <t>Vergabe von Aufträgen an Universitätsfremde, z. B. Gutachten, TÜV, Messungen, etc.</t>
  </si>
  <si>
    <r>
      <t xml:space="preserve">Preis einer Einheit        in Euro </t>
    </r>
    <r>
      <rPr>
        <u/>
        <sz val="10"/>
        <color indexed="23"/>
        <rFont val="Arial"/>
        <family val="2"/>
      </rPr>
      <t>(netto)</t>
    </r>
  </si>
  <si>
    <t>Einheit,       z. B. Std.</t>
  </si>
  <si>
    <r>
      <t xml:space="preserve">Gesamtpreis                   in Euro </t>
    </r>
    <r>
      <rPr>
        <u/>
        <sz val="10"/>
        <color indexed="23"/>
        <rFont val="Arial"/>
        <family val="2"/>
      </rPr>
      <t>(netto)</t>
    </r>
  </si>
  <si>
    <t>Weitere Fremdleistungen sind</t>
  </si>
  <si>
    <t>z. B. Reparaturen, Wartungsarbeiten, etc.</t>
  </si>
  <si>
    <t>Fremdleistung 1</t>
  </si>
  <si>
    <t>Preis einer Einheit          in Euro</t>
  </si>
  <si>
    <t>Gesamt- preis          in Euro</t>
  </si>
  <si>
    <t>Fremdleistung 2</t>
  </si>
  <si>
    <t>Fremdleistung 3</t>
  </si>
  <si>
    <t>Fremdleistung 4</t>
  </si>
  <si>
    <t>Fremdleistung 5</t>
  </si>
  <si>
    <t>Fremdleistung 6</t>
  </si>
  <si>
    <t>TÜV-Gutachten</t>
  </si>
  <si>
    <t>Fremdleistung 7</t>
  </si>
  <si>
    <t>Fremdleistung 8</t>
  </si>
  <si>
    <t>Fremdleistung 9</t>
  </si>
  <si>
    <t>Fremdleistung 10</t>
  </si>
  <si>
    <t>Fremdleistung 11</t>
  </si>
  <si>
    <t>Fremdleistung 12</t>
  </si>
  <si>
    <t>Fremdleistung 13</t>
  </si>
  <si>
    <t>Fremdleistung 14</t>
  </si>
  <si>
    <t>Fremdleistung 15</t>
  </si>
  <si>
    <t>Fremdleistung 16</t>
  </si>
  <si>
    <t>Fremdleistung 17</t>
  </si>
  <si>
    <t>Fremdleistung 18</t>
  </si>
  <si>
    <t>Fremdleistung 19</t>
  </si>
  <si>
    <t>Fremdleistung 20</t>
  </si>
  <si>
    <t>Fremdleistungen Gesamt</t>
  </si>
  <si>
    <t>sonstige dem Auftrag zurechenbare Kosten</t>
  </si>
  <si>
    <r>
      <t xml:space="preserve">Betrag in Euro </t>
    </r>
    <r>
      <rPr>
        <u/>
        <sz val="10"/>
        <color indexed="23"/>
        <rFont val="Arial"/>
        <family val="2"/>
      </rPr>
      <t>(netto)</t>
    </r>
  </si>
  <si>
    <t>Beispiele</t>
  </si>
  <si>
    <r>
      <t>sonstige dem Auftrag zurechenbare Kosten</t>
    </r>
    <r>
      <rPr>
        <sz val="10"/>
        <rFont val="Arial"/>
        <family val="2"/>
      </rPr>
      <t xml:space="preserve">                                                 (z. B. Reisekosten, Lizenzkosten, Interne Leistungsverrechnung etc.)</t>
    </r>
  </si>
  <si>
    <r>
      <t xml:space="preserve">Betrag in Euro </t>
    </r>
    <r>
      <rPr>
        <u/>
        <sz val="10"/>
        <color indexed="22"/>
        <rFont val="Arial"/>
        <family val="2"/>
      </rPr>
      <t>(netto)</t>
    </r>
  </si>
  <si>
    <t>sonstige dem Auftrag direkt zurechenbaren Kosten 1</t>
  </si>
  <si>
    <t>sonstige dem Auftrag direkt zurechenbaren Kosten 2</t>
  </si>
  <si>
    <t>Reisekosten</t>
  </si>
  <si>
    <t>sonstige dem Auftrag direkt zurechenbaren Kosten 3</t>
  </si>
  <si>
    <t>sonstige dem Auftrag direkt zurechenbaren Kosten 4</t>
  </si>
  <si>
    <t>sonstige dem Auftrag direkt zurechenbaren Kosten 5</t>
  </si>
  <si>
    <t>sonstige dem Auftrag direkt zurechenbaren Kosten 6</t>
  </si>
  <si>
    <r>
      <t xml:space="preserve">zusätzlich </t>
    </r>
    <r>
      <rPr>
        <b/>
        <u/>
        <sz val="10"/>
        <rFont val="Arial"/>
        <family val="2"/>
      </rPr>
      <t>nur für dieses Projekt</t>
    </r>
    <r>
      <rPr>
        <b/>
        <sz val="10"/>
        <rFont val="Arial"/>
        <family val="2"/>
      </rPr>
      <t xml:space="preserve"> gebuchte Räume</t>
    </r>
  </si>
  <si>
    <t>sonstige dem Auftrag direkt zurechenbaren Kosten 7</t>
  </si>
  <si>
    <r>
      <t>Raum</t>
    </r>
    <r>
      <rPr>
        <sz val="10"/>
        <rFont val="Arial"/>
        <family val="2"/>
      </rPr>
      <t xml:space="preserve">                                                                   z. B. Konferenzräume, Hörsaale, Abstellräume, usw.</t>
    </r>
  </si>
  <si>
    <t>Fläche in qm</t>
  </si>
  <si>
    <r>
      <t xml:space="preserve">Preis pro qm in Euro </t>
    </r>
    <r>
      <rPr>
        <u/>
        <sz val="8"/>
        <rFont val="Arial"/>
        <family val="2"/>
      </rPr>
      <t>(netto)</t>
    </r>
  </si>
  <si>
    <t>Gesamtkosten in Euro</t>
  </si>
  <si>
    <t>sonstige dem Auftrag direkt zurechenbaren Kosten 8</t>
  </si>
  <si>
    <t>sonstige dem Auftrag direkt zurechenbaren Kosten 9</t>
  </si>
  <si>
    <t>Lagerhalle</t>
  </si>
  <si>
    <t>sonstige dem Auftrag direkt zurechenbaren Kosten 10</t>
  </si>
  <si>
    <t>sonstige dem Auftrag direkt zurechenbaren Kosten 11</t>
  </si>
  <si>
    <t>sonstige dem Auftrag direkt zurechenbaren Kosten 12</t>
  </si>
  <si>
    <t>sonstige dem Auftrag direkt zurechenbaren Kosten 13</t>
  </si>
  <si>
    <t>sonstige dem Auftrag direkt zurechenbaren Kosten 14</t>
  </si>
  <si>
    <t>sonstige dem Auftrag direkt zurechenbaren Kosten 15</t>
  </si>
  <si>
    <t xml:space="preserve">sonstige dem Auftrag direkt zurechenbaren Kosten </t>
  </si>
  <si>
    <t>sonstige Raumkosten</t>
  </si>
  <si>
    <r>
      <t xml:space="preserve">Nur Räume die </t>
    </r>
    <r>
      <rPr>
        <b/>
        <u/>
        <sz val="10"/>
        <rFont val="Arial"/>
        <family val="2"/>
      </rPr>
      <t>zusätzlich</t>
    </r>
    <r>
      <rPr>
        <sz val="10"/>
        <rFont val="Arial"/>
        <family val="2"/>
      </rPr>
      <t xml:space="preserve"> gebraucht werden. Bei den</t>
    </r>
  </si>
  <si>
    <t xml:space="preserve">Personal- und Maschinenkosten sind die jeweils </t>
  </si>
  <si>
    <t>belegten Räume schon mit eingerechnet.</t>
  </si>
  <si>
    <t>Raum</t>
  </si>
  <si>
    <r>
      <t xml:space="preserve">Preis pro qm in Euro </t>
    </r>
    <r>
      <rPr>
        <u/>
        <sz val="10"/>
        <color indexed="23"/>
        <rFont val="Arial"/>
        <family val="2"/>
      </rPr>
      <t>(netto)</t>
    </r>
  </si>
  <si>
    <t>Raum 1</t>
  </si>
  <si>
    <t>Raum 2</t>
  </si>
  <si>
    <t>Raum 3</t>
  </si>
  <si>
    <t>Raum 4</t>
  </si>
  <si>
    <t>Raum 5</t>
  </si>
  <si>
    <t>Raum 6</t>
  </si>
  <si>
    <t>sonstige Raumkosten Gesamt</t>
  </si>
  <si>
    <t>sonstige dem Auftrag zurechenbaren Kosten                    inklusive sonstige Raumkosten</t>
  </si>
  <si>
    <t>Gesamtkalkulation - wissenschaftliche Dienstleistung</t>
  </si>
  <si>
    <t>Sachkosten Gesamt</t>
  </si>
  <si>
    <t>AA</t>
  </si>
  <si>
    <t xml:space="preserve">Nur grün hinterlegte Felder ausfüllen !                                                                                                       </t>
  </si>
  <si>
    <r>
      <t>Nur zur Information aufgeführt</t>
    </r>
    <r>
      <rPr>
        <sz val="10"/>
        <rFont val="Arial"/>
        <family val="2"/>
      </rPr>
      <t>, bestehend aus:</t>
    </r>
  </si>
  <si>
    <t>Personalkosten Stammpersonal LS /Beamte</t>
  </si>
  <si>
    <t>- Gerätenutzungskosten Gesamt</t>
  </si>
  <si>
    <t>- Materialkosten Gesamt</t>
  </si>
  <si>
    <t>PersonalkostenStammpersonal LS /Angestellte/HiWi</t>
  </si>
  <si>
    <t>- Fremdleistungskosten Gesamt</t>
  </si>
  <si>
    <r>
      <t xml:space="preserve">Personalkosten Einstellung (direkt auf Projekt) Gesamt </t>
    </r>
    <r>
      <rPr>
        <b/>
        <sz val="11"/>
        <rFont val="Arial"/>
        <family val="2"/>
      </rPr>
      <t>(Wissenschaftler/Angestellte/HiWi)</t>
    </r>
  </si>
  <si>
    <t>- sonstigen direkt zurechenbaren Kosten Gesamt</t>
  </si>
  <si>
    <t xml:space="preserve">Forschungs- und Lehrzulage  </t>
  </si>
  <si>
    <t>direkte Materialkosten Gesamt</t>
  </si>
  <si>
    <t>Pauschale für Kleinmaterial (bis 350,00 EUR)</t>
  </si>
  <si>
    <t xml:space="preserve">Fremdleistungskosten Gesamt </t>
  </si>
  <si>
    <t xml:space="preserve">sonstige zurechenbare Kosten Gesamt </t>
  </si>
  <si>
    <t>Zwischensumme</t>
  </si>
  <si>
    <r>
      <t xml:space="preserve">Preissteigerungen während der Laufzeit inklusive
Tariferhöhungen </t>
    </r>
    <r>
      <rPr>
        <b/>
        <sz val="10"/>
        <rFont val="Arial"/>
        <family val="2"/>
      </rPr>
      <t>(mit Ja bestätigen, wenn während der Laufzeit zu erwarten)</t>
    </r>
  </si>
  <si>
    <t>Umlageanteil für Investitionen</t>
  </si>
  <si>
    <t>Selbstkosten</t>
  </si>
  <si>
    <t>960         Gewinn-rücklage</t>
  </si>
  <si>
    <t>Nettoüberschuss vorweg verfügbar
(AA 961 Restmittelkostenstelle)</t>
  </si>
  <si>
    <r>
      <t xml:space="preserve">Gewinn in Euro </t>
    </r>
    <r>
      <rPr>
        <b/>
        <sz val="10"/>
        <rFont val="Arial"/>
        <family val="2"/>
      </rPr>
      <t>(alternativ)</t>
    </r>
  </si>
  <si>
    <r>
      <t xml:space="preserve">955        </t>
    </r>
    <r>
      <rPr>
        <sz val="9"/>
        <rFont val="Arial"/>
        <family val="2"/>
      </rPr>
      <t>Nettoüber-schuss vorweg verfügbar</t>
    </r>
  </si>
  <si>
    <t xml:space="preserve">Overhead  </t>
  </si>
  <si>
    <t>Mir ist bekannt, dass nach dem EU-Gemeinschaftsrahmen für staatliche Beihilfen für Forschung, Entwicklung und Innovation</t>
  </si>
  <si>
    <t>(Beihilferahmen) zur Vermeidung von  Wettbewerbsverzerrungen eine Trennung von wirtschaftlichen und nichtwirtschaftlichen</t>
  </si>
  <si>
    <t>Tätigkeiten erforderlich ist und insoweit eine Quersubventionierung von wirtschaftlicher Tätigkeit aus staatlichen</t>
  </si>
  <si>
    <t>Haushaltsmitteln unzulässig ist.</t>
  </si>
  <si>
    <t xml:space="preserve">Mir ist bekannt, dass nach bayerischer Haushaltsdordnung, die Universität Bayreuth nicht in Vorleistung gehen soll. </t>
  </si>
  <si>
    <t xml:space="preserve">Daher sollen Zahlungen weitestgehends vor Beginn der Tätigkeit erfolgen. Nur in begründeten Einzelfällen ist ggfs. eine </t>
  </si>
  <si>
    <t>andere Regelung möglich.</t>
  </si>
  <si>
    <t>Das obige Projekt / die obige Kalkulation trägt dem Rechnung und wurde deshalb im Zuge der Angebotserstellung</t>
  </si>
  <si>
    <t>nach einer Vollkostenkalkulation bzw. nach marktüblichen Preisen kalkuliert.</t>
  </si>
  <si>
    <t xml:space="preserve">Ferner wird sichergestellt, dass alle Ausgaben für das Projekt nachweisbar / spezifizierbar sind. Entsprechende </t>
  </si>
  <si>
    <t>Aufzeichnungen werden geführt und für eine evtl. Prüfung durch die EU nach den einschlägigen Aufbewahrungs-</t>
  </si>
  <si>
    <t>bestimmungen aufbewahrt.</t>
  </si>
  <si>
    <t>__________________________________</t>
  </si>
  <si>
    <t>_______________________________________</t>
  </si>
  <si>
    <t>Datum, Unterschrift des Projektleiters</t>
  </si>
  <si>
    <t xml:space="preserve">Datum, Unterschrift des Lehrstuhlinhabers </t>
  </si>
  <si>
    <t xml:space="preserve">Bitte Eintrag mit "Ja" bestätigen und generell Preissteigerungen kalkulieren. </t>
  </si>
  <si>
    <r>
      <rPr>
        <sz val="10"/>
        <color theme="1"/>
        <rFont val="Arial"/>
        <family val="2"/>
      </rPr>
      <t>Bei einer wissenschaftlichen Dienstleistung ist die Angabe einer Forschungs- und Lehrzulage nicht möglich.</t>
    </r>
    <r>
      <rPr>
        <b/>
        <sz val="10"/>
        <color indexed="10"/>
        <rFont val="Arial"/>
        <family val="2"/>
      </rPr>
      <t xml:space="preserve"> </t>
    </r>
  </si>
  <si>
    <t>Reisekosten, Raummiete etc.</t>
  </si>
  <si>
    <t xml:space="preserve">Rückfragen zu diesem Tabellenblatt bitte beim Referat Finanzcontrolling:  ZUV
Tel.: 0921 / 55-5348 Fax: 0921 / 55 84 5348, E-Mail: finanzcontrolling@uni-bayreuth.de
</t>
  </si>
  <si>
    <r>
      <t xml:space="preserve">Rückfragen zu </t>
    </r>
    <r>
      <rPr>
        <b/>
        <sz val="10"/>
        <rFont val="Arial"/>
        <family val="2"/>
      </rPr>
      <t>sonstigen Raumkosten</t>
    </r>
    <r>
      <rPr>
        <sz val="10"/>
        <rFont val="Arial"/>
        <family val="2"/>
      </rPr>
      <t xml:space="preserve"> bitte bei Referat II/1.1.3
Liegenschaftsverwaltung, An- und Vermietungen,                                                                                                                                                                                                       Bau-, Raum- und Hausbewirtschaftungsangelegenheiten, Fernmelde- und Postwesen melden: Referat II 1.1.3 Haushaltsvollzug. Email: Haushaltsvollzug@uni-bayreuth.de
</t>
    </r>
  </si>
  <si>
    <t>Innenleistung Lehrstuhl/Einrichtung</t>
  </si>
  <si>
    <t>Stand: April 2025</t>
  </si>
  <si>
    <t>Die (Netto-)Vollkosten pro Stunde sind bei Frau Susann Eitner anzufragen.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</si>
</sst>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 #,##0.00\ &quot;€&quot;_-;\-* #,##0.00\ &quot;€&quot;_-;_-* &quot;-&quot;??\ &quot;€&quot;_-;_-@_-"/>
    <numFmt numFmtId="164" formatCode="#,##0.00_ ;\-#,##0.00\ "/>
    <numFmt numFmtId="165" formatCode="0.0"/>
    <numFmt numFmtId="166" formatCode="#,##0.0"/>
    <numFmt numFmtId="167" formatCode="#,##0.00\ &quot;€&quot;"/>
    <numFmt numFmtId="168" formatCode="0&quot;%&quot;"/>
  </numFmts>
  <fonts count="80" x14ac:knownFonts="1">
    <font>
      <sz val="10"/>
      <name val="Arial"/>
    </font>
    <font>
      <sz val="10"/>
      <name val="Arial"/>
      <family val="2"/>
    </font>
    <font>
      <b/>
      <sz val="10"/>
      <name val="Arial"/>
      <family val="2"/>
    </font>
    <font>
      <sz val="8"/>
      <name val="Arial"/>
      <family val="2"/>
    </font>
    <font>
      <b/>
      <sz val="12"/>
      <name val="Arial"/>
      <family val="2"/>
    </font>
    <font>
      <b/>
      <sz val="10"/>
      <color indexed="10"/>
      <name val="Arial"/>
      <family val="2"/>
    </font>
    <font>
      <sz val="8"/>
      <color indexed="81"/>
      <name val="Tahoma"/>
      <family val="2"/>
    </font>
    <font>
      <b/>
      <sz val="8"/>
      <color indexed="81"/>
      <name val="Tahoma"/>
      <family val="2"/>
    </font>
    <font>
      <sz val="10"/>
      <name val="Arial"/>
      <family val="2"/>
    </font>
    <font>
      <u/>
      <sz val="10"/>
      <name val="Arial"/>
      <family val="2"/>
    </font>
    <font>
      <u/>
      <sz val="10"/>
      <color indexed="12"/>
      <name val="Arial"/>
      <family val="2"/>
    </font>
    <font>
      <sz val="48"/>
      <name val="Arial"/>
      <family val="2"/>
    </font>
    <font>
      <sz val="10"/>
      <color indexed="9"/>
      <name val="Arial"/>
      <family val="2"/>
    </font>
    <font>
      <sz val="10"/>
      <color indexed="10"/>
      <name val="Arial"/>
      <family val="2"/>
    </font>
    <font>
      <b/>
      <sz val="12"/>
      <color indexed="9"/>
      <name val="Arial"/>
      <family val="2"/>
    </font>
    <font>
      <i/>
      <sz val="10"/>
      <name val="Arial"/>
      <family val="2"/>
    </font>
    <font>
      <b/>
      <u/>
      <sz val="10"/>
      <name val="Arial"/>
      <family val="2"/>
    </font>
    <font>
      <b/>
      <sz val="10"/>
      <color indexed="52"/>
      <name val="Arial"/>
      <family val="2"/>
    </font>
    <font>
      <u/>
      <sz val="8"/>
      <name val="Arial"/>
      <family val="2"/>
    </font>
    <font>
      <sz val="12"/>
      <name val="Arial"/>
      <family val="2"/>
    </font>
    <font>
      <b/>
      <u/>
      <sz val="8"/>
      <name val="Arial"/>
      <family val="2"/>
    </font>
    <font>
      <i/>
      <sz val="8"/>
      <name val="Arial"/>
      <family val="2"/>
    </font>
    <font>
      <b/>
      <sz val="8"/>
      <name val="Arial"/>
      <family val="2"/>
    </font>
    <font>
      <b/>
      <sz val="9"/>
      <name val="Arial"/>
      <family val="2"/>
    </font>
    <font>
      <b/>
      <sz val="7"/>
      <name val="Arial"/>
      <family val="2"/>
    </font>
    <font>
      <b/>
      <sz val="10"/>
      <color indexed="23"/>
      <name val="Arial"/>
      <family val="2"/>
    </font>
    <font>
      <u/>
      <sz val="10"/>
      <color indexed="23"/>
      <name val="Arial"/>
      <family val="2"/>
    </font>
    <font>
      <b/>
      <sz val="12"/>
      <color indexed="10"/>
      <name val="Arial"/>
      <family val="2"/>
    </font>
    <font>
      <b/>
      <sz val="14"/>
      <name val="Arial"/>
      <family val="2"/>
    </font>
    <font>
      <sz val="14"/>
      <name val="Arial"/>
      <family val="2"/>
    </font>
    <font>
      <sz val="9"/>
      <name val="Arial"/>
      <family val="2"/>
    </font>
    <font>
      <b/>
      <u/>
      <sz val="9"/>
      <name val="Arial"/>
      <family val="2"/>
    </font>
    <font>
      <sz val="9"/>
      <name val="Symbol"/>
      <family val="1"/>
      <charset val="2"/>
    </font>
    <font>
      <b/>
      <sz val="11"/>
      <name val="Arial"/>
      <family val="2"/>
    </font>
    <font>
      <sz val="11"/>
      <name val="Arial"/>
      <family val="2"/>
    </font>
    <font>
      <u/>
      <sz val="10"/>
      <color indexed="22"/>
      <name val="Arial"/>
      <family val="2"/>
    </font>
    <font>
      <sz val="10"/>
      <color indexed="23"/>
      <name val="Arial"/>
      <family val="2"/>
    </font>
    <font>
      <b/>
      <sz val="10"/>
      <color indexed="57"/>
      <name val="Arial"/>
      <family val="2"/>
    </font>
    <font>
      <b/>
      <u/>
      <sz val="12"/>
      <name val="Arial"/>
      <family val="2"/>
    </font>
    <font>
      <b/>
      <u/>
      <sz val="10"/>
      <color indexed="23"/>
      <name val="Arial"/>
      <family val="2"/>
    </font>
    <font>
      <sz val="11"/>
      <color indexed="10"/>
      <name val="Arial"/>
      <family val="2"/>
    </font>
    <font>
      <sz val="10"/>
      <name val="Arial"/>
      <family val="2"/>
    </font>
    <font>
      <b/>
      <i/>
      <sz val="10"/>
      <name val="Arial"/>
      <family val="2"/>
    </font>
    <font>
      <b/>
      <sz val="11"/>
      <name val="Symbol"/>
      <family val="1"/>
      <charset val="2"/>
    </font>
    <font>
      <i/>
      <sz val="9"/>
      <name val="Arial"/>
      <family val="2"/>
    </font>
    <font>
      <b/>
      <u val="doubleAccounting"/>
      <sz val="11"/>
      <name val="Arial"/>
      <family val="2"/>
    </font>
    <font>
      <sz val="16"/>
      <name val="Arial"/>
      <family val="2"/>
    </font>
    <font>
      <b/>
      <sz val="20"/>
      <name val="Arial"/>
      <family val="2"/>
    </font>
    <font>
      <sz val="11"/>
      <color rgb="FF006100"/>
      <name val="Calibri"/>
      <family val="2"/>
      <scheme val="minor"/>
    </font>
    <font>
      <b/>
      <sz val="12"/>
      <name val="Calibri"/>
      <family val="2"/>
      <scheme val="minor"/>
    </font>
    <font>
      <sz val="9"/>
      <color theme="0"/>
      <name val="Arial"/>
      <family val="2"/>
    </font>
    <font>
      <b/>
      <sz val="12"/>
      <color rgb="FF006100"/>
      <name val="Calibri"/>
      <family val="2"/>
      <scheme val="minor"/>
    </font>
    <font>
      <b/>
      <sz val="14"/>
      <name val="Calibri"/>
      <family val="2"/>
      <scheme val="minor"/>
    </font>
    <font>
      <sz val="10"/>
      <name val="Calibri"/>
      <family val="2"/>
      <scheme val="minor"/>
    </font>
    <font>
      <sz val="14"/>
      <name val="Calibri"/>
      <family val="2"/>
      <scheme val="minor"/>
    </font>
    <font>
      <sz val="12"/>
      <color rgb="FFFF0000"/>
      <name val="Arial"/>
      <family val="2"/>
    </font>
    <font>
      <b/>
      <sz val="9"/>
      <color rgb="FFFF0000"/>
      <name val="Arial"/>
      <family val="2"/>
    </font>
    <font>
      <sz val="8"/>
      <color rgb="FFFF0000"/>
      <name val="Arial"/>
      <family val="2"/>
    </font>
    <font>
      <sz val="10"/>
      <color rgb="FFFF0000"/>
      <name val="Arial"/>
      <family val="2"/>
    </font>
    <font>
      <b/>
      <sz val="10"/>
      <color rgb="FFFF0000"/>
      <name val="Arial"/>
      <family val="2"/>
    </font>
    <font>
      <b/>
      <i/>
      <sz val="12"/>
      <color rgb="FFFF0000"/>
      <name val="Arial"/>
      <family val="2"/>
    </font>
    <font>
      <b/>
      <u/>
      <sz val="18"/>
      <name val="Arial"/>
      <family val="2"/>
    </font>
    <font>
      <i/>
      <sz val="11"/>
      <name val="Arial"/>
      <family val="2"/>
    </font>
    <font>
      <i/>
      <sz val="11"/>
      <color rgb="FFFF0000"/>
      <name val="Arial"/>
      <family val="2"/>
    </font>
    <font>
      <sz val="16"/>
      <name val="Wingdings 3"/>
      <family val="1"/>
      <charset val="2"/>
    </font>
    <font>
      <b/>
      <sz val="16"/>
      <name val="Arial"/>
      <family val="2"/>
    </font>
    <font>
      <sz val="13"/>
      <name val="Arial"/>
      <family val="2"/>
    </font>
    <font>
      <sz val="13"/>
      <color rgb="FFFF0000"/>
      <name val="Arial"/>
      <family val="2"/>
    </font>
    <font>
      <b/>
      <sz val="13"/>
      <name val="Arial"/>
      <family val="2"/>
    </font>
    <font>
      <sz val="13.5"/>
      <color rgb="FFFF0000"/>
      <name val="Arial"/>
      <family val="2"/>
    </font>
    <font>
      <sz val="18"/>
      <color rgb="FFFF0000"/>
      <name val="Arial"/>
      <family val="2"/>
    </font>
    <font>
      <b/>
      <sz val="12"/>
      <color rgb="FFFF0000"/>
      <name val="Arial"/>
      <family val="2"/>
    </font>
    <font>
      <b/>
      <sz val="13.5"/>
      <color rgb="FFFF0000"/>
      <name val="Arial"/>
      <family val="2"/>
    </font>
    <font>
      <b/>
      <sz val="14"/>
      <color rgb="FFFF0000"/>
      <name val="Arial"/>
      <family val="2"/>
    </font>
    <font>
      <sz val="14"/>
      <color rgb="FFFF0000"/>
      <name val="Arial"/>
      <family val="2"/>
    </font>
    <font>
      <sz val="14"/>
      <color rgb="FFFF0000"/>
      <name val="Myriad Pro"/>
      <family val="2"/>
    </font>
    <font>
      <sz val="16"/>
      <color rgb="FFFF0000"/>
      <name val="Arial"/>
      <family val="2"/>
    </font>
    <font>
      <b/>
      <sz val="16"/>
      <color rgb="FFFF0000"/>
      <name val="Arial"/>
      <family val="2"/>
    </font>
    <font>
      <sz val="10"/>
      <color theme="1"/>
      <name val="Arial"/>
      <family val="2"/>
    </font>
    <font>
      <sz val="9"/>
      <color rgb="FFFF0000"/>
      <name val="Arial"/>
      <family val="2"/>
    </font>
  </fonts>
  <fills count="2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41"/>
        <bgColor indexed="64"/>
      </patternFill>
    </fill>
    <fill>
      <patternFill patternType="solid">
        <fgColor indexed="47"/>
        <bgColor indexed="64"/>
      </patternFill>
    </fill>
    <fill>
      <patternFill patternType="solid">
        <fgColor rgb="FFC6EFCE"/>
      </patternFill>
    </fill>
    <fill>
      <patternFill patternType="solid">
        <fgColor rgb="FFFFFFCC"/>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EDEBA7"/>
        <bgColor indexed="64"/>
      </patternFill>
    </fill>
    <fill>
      <patternFill patternType="solid">
        <fgColor theme="0"/>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rgb="FF7F8990"/>
        <bgColor indexed="64"/>
      </patternFill>
    </fill>
  </fills>
  <borders count="59">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bottom/>
      <diagonal/>
    </border>
    <border>
      <left/>
      <right style="medium">
        <color indexed="64"/>
      </right>
      <top/>
      <bottom/>
      <diagonal/>
    </border>
    <border>
      <left style="medium">
        <color indexed="64"/>
      </left>
      <right style="medium">
        <color indexed="64"/>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thin">
        <color indexed="64"/>
      </top>
      <bottom style="medium">
        <color indexed="64"/>
      </bottom>
      <diagonal/>
    </border>
    <border>
      <left/>
      <right style="medium">
        <color indexed="64"/>
      </right>
      <top/>
      <bottom style="thin">
        <color indexed="64"/>
      </bottom>
      <diagonal/>
    </border>
    <border>
      <left/>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s>
  <cellStyleXfs count="8">
    <xf numFmtId="0" fontId="0" fillId="0" borderId="0"/>
    <xf numFmtId="44" fontId="1" fillId="0" borderId="0" applyFont="0" applyFill="0" applyBorder="0" applyAlignment="0" applyProtection="0"/>
    <xf numFmtId="0" fontId="48" fillId="9" borderId="0" applyNumberFormat="0" applyBorder="0" applyAlignment="0" applyProtection="0"/>
    <xf numFmtId="0" fontId="10" fillId="0" borderId="0" applyNumberFormat="0" applyFill="0" applyBorder="0" applyAlignment="0" applyProtection="0">
      <alignment vertical="top"/>
      <protection locked="0"/>
    </xf>
    <xf numFmtId="9" fontId="1" fillId="0" borderId="0" applyFont="0" applyFill="0" applyBorder="0" applyAlignment="0" applyProtection="0"/>
    <xf numFmtId="9" fontId="41" fillId="0" borderId="0" applyFont="0" applyFill="0" applyBorder="0" applyAlignment="0" applyProtection="0"/>
    <xf numFmtId="44" fontId="1" fillId="0" borderId="0" applyFont="0" applyFill="0" applyBorder="0" applyAlignment="0" applyProtection="0"/>
    <xf numFmtId="0" fontId="1" fillId="0" borderId="0"/>
  </cellStyleXfs>
  <cellXfs count="993">
    <xf numFmtId="0" fontId="0" fillId="0" borderId="0" xfId="0"/>
    <xf numFmtId="0" fontId="0" fillId="2" borderId="0" xfId="0" applyFill="1"/>
    <xf numFmtId="0" fontId="29" fillId="0" borderId="0" xfId="0" applyFont="1"/>
    <xf numFmtId="0" fontId="30" fillId="0" borderId="0" xfId="0" applyFont="1"/>
    <xf numFmtId="0" fontId="23" fillId="0" borderId="2" xfId="0" applyFont="1" applyBorder="1"/>
    <xf numFmtId="0" fontId="30" fillId="0" borderId="2" xfId="0" applyFont="1" applyBorder="1"/>
    <xf numFmtId="4" fontId="30" fillId="0" borderId="2" xfId="0" applyNumberFormat="1" applyFont="1" applyBorder="1"/>
    <xf numFmtId="0" fontId="30" fillId="3" borderId="3" xfId="0" applyFont="1" applyFill="1" applyBorder="1" applyProtection="1">
      <protection locked="0"/>
    </xf>
    <xf numFmtId="4" fontId="30" fillId="3" borderId="3" xfId="0" applyNumberFormat="1" applyFont="1" applyFill="1" applyBorder="1" applyProtection="1">
      <protection locked="0"/>
    </xf>
    <xf numFmtId="0" fontId="30" fillId="3" borderId="4" xfId="0" applyFont="1" applyFill="1" applyBorder="1" applyProtection="1">
      <protection locked="0"/>
    </xf>
    <xf numFmtId="0" fontId="23" fillId="0" borderId="5" xfId="0" applyFont="1" applyBorder="1"/>
    <xf numFmtId="4" fontId="30" fillId="0" borderId="2" xfId="0" applyNumberFormat="1" applyFont="1" applyBorder="1" applyProtection="1">
      <protection hidden="1"/>
    </xf>
    <xf numFmtId="0" fontId="0" fillId="0" borderId="0" xfId="0" applyProtection="1">
      <protection hidden="1"/>
    </xf>
    <xf numFmtId="0" fontId="0" fillId="0" borderId="6" xfId="0" applyBorder="1" applyAlignment="1" applyProtection="1">
      <alignment horizontal="center"/>
      <protection hidden="1"/>
    </xf>
    <xf numFmtId="3" fontId="0" fillId="0" borderId="7" xfId="0" applyNumberFormat="1" applyBorder="1" applyProtection="1">
      <protection hidden="1"/>
    </xf>
    <xf numFmtId="4" fontId="0" fillId="4" borderId="8" xfId="0" applyNumberFormat="1" applyFill="1" applyBorder="1" applyProtection="1">
      <protection locked="0" hidden="1"/>
    </xf>
    <xf numFmtId="4" fontId="0" fillId="0" borderId="5" xfId="0" applyNumberFormat="1" applyBorder="1" applyProtection="1">
      <protection hidden="1"/>
    </xf>
    <xf numFmtId="4" fontId="0" fillId="4" borderId="2" xfId="0" applyNumberFormat="1" applyFill="1" applyBorder="1" applyProtection="1">
      <protection locked="0" hidden="1"/>
    </xf>
    <xf numFmtId="0" fontId="0" fillId="0" borderId="9" xfId="0" applyBorder="1" applyAlignment="1" applyProtection="1">
      <alignment horizontal="center"/>
      <protection hidden="1"/>
    </xf>
    <xf numFmtId="0" fontId="0" fillId="0" borderId="10" xfId="0" applyBorder="1" applyAlignment="1" applyProtection="1">
      <alignment horizontal="center"/>
      <protection hidden="1"/>
    </xf>
    <xf numFmtId="3" fontId="0" fillId="0" borderId="10" xfId="0" applyNumberFormat="1" applyBorder="1" applyProtection="1">
      <protection hidden="1"/>
    </xf>
    <xf numFmtId="0" fontId="2" fillId="5" borderId="11" xfId="0" applyFont="1" applyFill="1" applyBorder="1" applyProtection="1">
      <protection hidden="1"/>
    </xf>
    <xf numFmtId="0" fontId="0" fillId="0" borderId="12" xfId="0" applyBorder="1" applyAlignment="1" applyProtection="1">
      <alignment horizontal="center"/>
      <protection hidden="1"/>
    </xf>
    <xf numFmtId="4" fontId="0" fillId="4" borderId="13" xfId="0" applyNumberFormat="1" applyFill="1" applyBorder="1" applyProtection="1">
      <protection locked="0" hidden="1"/>
    </xf>
    <xf numFmtId="4" fontId="0" fillId="4" borderId="14" xfId="0" applyNumberFormat="1" applyFill="1" applyBorder="1" applyProtection="1">
      <protection locked="0" hidden="1"/>
    </xf>
    <xf numFmtId="2" fontId="2" fillId="5" borderId="11" xfId="0" applyNumberFormat="1" applyFont="1" applyFill="1" applyBorder="1" applyProtection="1">
      <protection hidden="1"/>
    </xf>
    <xf numFmtId="0" fontId="0" fillId="0" borderId="15" xfId="0" applyBorder="1" applyAlignment="1" applyProtection="1">
      <alignment horizontal="center"/>
      <protection hidden="1"/>
    </xf>
    <xf numFmtId="3" fontId="0" fillId="0" borderId="16" xfId="0" applyNumberFormat="1" applyBorder="1" applyProtection="1">
      <protection hidden="1"/>
    </xf>
    <xf numFmtId="4" fontId="0" fillId="0" borderId="2" xfId="0" applyNumberFormat="1" applyBorder="1" applyProtection="1">
      <protection hidden="1"/>
    </xf>
    <xf numFmtId="3" fontId="0" fillId="0" borderId="10" xfId="0" applyNumberFormat="1" applyBorder="1" applyAlignment="1" applyProtection="1">
      <alignment horizontal="right"/>
      <protection hidden="1"/>
    </xf>
    <xf numFmtId="0" fontId="2" fillId="5" borderId="11" xfId="0" applyFont="1" applyFill="1" applyBorder="1" applyAlignment="1" applyProtection="1">
      <alignment horizontal="right"/>
      <protection hidden="1"/>
    </xf>
    <xf numFmtId="0" fontId="0" fillId="0" borderId="16" xfId="0" applyBorder="1" applyAlignment="1" applyProtection="1">
      <alignment horizontal="center"/>
      <protection hidden="1"/>
    </xf>
    <xf numFmtId="0" fontId="0" fillId="0" borderId="17" xfId="0" applyBorder="1" applyAlignment="1" applyProtection="1">
      <alignment horizontal="center"/>
      <protection hidden="1"/>
    </xf>
    <xf numFmtId="0" fontId="0" fillId="0" borderId="18" xfId="0" applyBorder="1" applyAlignment="1" applyProtection="1">
      <alignment horizontal="center"/>
      <protection hidden="1"/>
    </xf>
    <xf numFmtId="2" fontId="2" fillId="5" borderId="19" xfId="0" applyNumberFormat="1" applyFont="1" applyFill="1" applyBorder="1" applyProtection="1">
      <protection hidden="1"/>
    </xf>
    <xf numFmtId="2" fontId="2" fillId="5" borderId="20" xfId="0" applyNumberFormat="1" applyFont="1" applyFill="1" applyBorder="1" applyProtection="1">
      <protection hidden="1"/>
    </xf>
    <xf numFmtId="0" fontId="0" fillId="0" borderId="7" xfId="0" applyBorder="1" applyProtection="1">
      <protection hidden="1"/>
    </xf>
    <xf numFmtId="0" fontId="0" fillId="0" borderId="6" xfId="0" applyBorder="1" applyProtection="1">
      <protection hidden="1"/>
    </xf>
    <xf numFmtId="0" fontId="0" fillId="0" borderId="10" xfId="0" applyBorder="1" applyProtection="1">
      <protection hidden="1"/>
    </xf>
    <xf numFmtId="0" fontId="0" fillId="0" borderId="9" xfId="0" applyBorder="1" applyProtection="1">
      <protection hidden="1"/>
    </xf>
    <xf numFmtId="0" fontId="0" fillId="0" borderId="16" xfId="0" applyBorder="1" applyProtection="1">
      <protection hidden="1"/>
    </xf>
    <xf numFmtId="0" fontId="0" fillId="0" borderId="15" xfId="0" applyBorder="1" applyProtection="1">
      <protection hidden="1"/>
    </xf>
    <xf numFmtId="4" fontId="0" fillId="4" borderId="21" xfId="0" applyNumberFormat="1" applyFill="1" applyBorder="1" applyProtection="1">
      <protection locked="0" hidden="1"/>
    </xf>
    <xf numFmtId="4" fontId="0" fillId="4" borderId="22" xfId="0" applyNumberFormat="1" applyFill="1" applyBorder="1" applyProtection="1">
      <protection locked="0" hidden="1"/>
    </xf>
    <xf numFmtId="0" fontId="2" fillId="0" borderId="0" xfId="0" applyFont="1" applyAlignment="1" applyProtection="1">
      <alignment horizontal="left"/>
      <protection hidden="1"/>
    </xf>
    <xf numFmtId="3" fontId="0" fillId="0" borderId="0" xfId="0" applyNumberFormat="1" applyProtection="1">
      <protection hidden="1"/>
    </xf>
    <xf numFmtId="0" fontId="2" fillId="0" borderId="0" xfId="0" applyFont="1" applyProtection="1">
      <protection hidden="1"/>
    </xf>
    <xf numFmtId="4" fontId="0" fillId="0" borderId="0" xfId="0" applyNumberFormat="1" applyProtection="1">
      <protection locked="0" hidden="1"/>
    </xf>
    <xf numFmtId="4" fontId="0" fillId="0" borderId="0" xfId="0" applyNumberFormat="1" applyProtection="1">
      <protection hidden="1"/>
    </xf>
    <xf numFmtId="0" fontId="2" fillId="0" borderId="2" xfId="0" applyFont="1" applyBorder="1" applyAlignment="1" applyProtection="1">
      <alignment horizontal="left"/>
      <protection hidden="1"/>
    </xf>
    <xf numFmtId="0" fontId="0" fillId="5" borderId="0" xfId="0" applyFill="1" applyProtection="1">
      <protection hidden="1"/>
    </xf>
    <xf numFmtId="0" fontId="0" fillId="0" borderId="0" xfId="0" applyAlignment="1" applyProtection="1">
      <alignment horizontal="center"/>
      <protection hidden="1"/>
    </xf>
    <xf numFmtId="0" fontId="2" fillId="0" borderId="23" xfId="0" applyFont="1" applyBorder="1" applyAlignment="1" applyProtection="1">
      <alignment horizontal="left"/>
      <protection hidden="1"/>
    </xf>
    <xf numFmtId="0" fontId="2" fillId="0" borderId="2" xfId="0" applyFont="1" applyBorder="1" applyProtection="1">
      <protection hidden="1"/>
    </xf>
    <xf numFmtId="0" fontId="0" fillId="4" borderId="23" xfId="0" applyFill="1" applyBorder="1" applyAlignment="1" applyProtection="1">
      <alignment horizontal="left"/>
      <protection locked="0" hidden="1"/>
    </xf>
    <xf numFmtId="2" fontId="0" fillId="4" borderId="24" xfId="0" applyNumberFormat="1" applyFill="1" applyBorder="1" applyAlignment="1" applyProtection="1">
      <alignment horizontal="right"/>
      <protection locked="0" hidden="1"/>
    </xf>
    <xf numFmtId="2" fontId="0" fillId="4" borderId="14" xfId="0" applyNumberFormat="1" applyFill="1" applyBorder="1" applyAlignment="1" applyProtection="1">
      <alignment horizontal="center"/>
      <protection locked="0" hidden="1"/>
    </xf>
    <xf numFmtId="164" fontId="0" fillId="0" borderId="14" xfId="6" applyNumberFormat="1" applyFont="1" applyBorder="1" applyAlignment="1" applyProtection="1">
      <protection hidden="1"/>
    </xf>
    <xf numFmtId="2" fontId="0" fillId="4" borderId="2" xfId="0" applyNumberFormat="1" applyFill="1" applyBorder="1" applyAlignment="1" applyProtection="1">
      <alignment horizontal="center"/>
      <protection locked="0" hidden="1"/>
    </xf>
    <xf numFmtId="0" fontId="0" fillId="2" borderId="0" xfId="0" applyFill="1" applyProtection="1">
      <protection hidden="1"/>
    </xf>
    <xf numFmtId="0" fontId="0" fillId="0" borderId="0" xfId="0" applyAlignment="1" applyProtection="1">
      <alignment horizontal="left"/>
      <protection hidden="1"/>
    </xf>
    <xf numFmtId="0" fontId="0" fillId="4" borderId="2" xfId="0" applyFill="1" applyBorder="1" applyAlignment="1" applyProtection="1">
      <alignment horizontal="center"/>
      <protection locked="0" hidden="1"/>
    </xf>
    <xf numFmtId="0" fontId="0" fillId="4" borderId="2" xfId="0" applyFill="1" applyBorder="1" applyProtection="1">
      <protection locked="0" hidden="1"/>
    </xf>
    <xf numFmtId="0" fontId="0" fillId="4" borderId="14" xfId="0" applyFill="1" applyBorder="1" applyProtection="1">
      <protection locked="0" hidden="1"/>
    </xf>
    <xf numFmtId="0" fontId="0" fillId="4" borderId="22" xfId="0" applyFill="1" applyBorder="1" applyProtection="1">
      <protection locked="0" hidden="1"/>
    </xf>
    <xf numFmtId="2" fontId="0" fillId="4" borderId="2" xfId="0" applyNumberFormat="1" applyFill="1" applyBorder="1" applyProtection="1">
      <protection locked="0" hidden="1"/>
    </xf>
    <xf numFmtId="0" fontId="0" fillId="4" borderId="24" xfId="0" applyFill="1" applyBorder="1" applyProtection="1">
      <protection locked="0" hidden="1"/>
    </xf>
    <xf numFmtId="0" fontId="0" fillId="4" borderId="23" xfId="0" applyFill="1" applyBorder="1" applyProtection="1">
      <protection locked="0" hidden="1"/>
    </xf>
    <xf numFmtId="0" fontId="0" fillId="4" borderId="8" xfId="0" applyFill="1" applyBorder="1" applyProtection="1">
      <protection locked="0" hidden="1"/>
    </xf>
    <xf numFmtId="4" fontId="0" fillId="4" borderId="0" xfId="0" applyNumberFormat="1" applyFill="1" applyProtection="1">
      <protection locked="0" hidden="1"/>
    </xf>
    <xf numFmtId="0" fontId="8" fillId="0" borderId="0" xfId="0" applyFont="1" applyProtection="1">
      <protection hidden="1"/>
    </xf>
    <xf numFmtId="0" fontId="2" fillId="2" borderId="0" xfId="0" applyFont="1" applyFill="1" applyAlignment="1" applyProtection="1">
      <alignment vertical="top"/>
      <protection hidden="1"/>
    </xf>
    <xf numFmtId="0" fontId="2" fillId="2" borderId="0" xfId="0" applyFont="1" applyFill="1" applyProtection="1">
      <protection hidden="1"/>
    </xf>
    <xf numFmtId="0" fontId="0" fillId="2" borderId="0" xfId="0" applyFill="1" applyAlignment="1" applyProtection="1">
      <alignment vertical="top" wrapText="1"/>
      <protection hidden="1"/>
    </xf>
    <xf numFmtId="0" fontId="0" fillId="2" borderId="0" xfId="0" applyFill="1" applyAlignment="1" applyProtection="1">
      <alignment horizontal="left" vertical="top" wrapText="1"/>
      <protection hidden="1"/>
    </xf>
    <xf numFmtId="0" fontId="19" fillId="2" borderId="0" xfId="0" applyFont="1" applyFill="1" applyProtection="1">
      <protection hidden="1"/>
    </xf>
    <xf numFmtId="0" fontId="0" fillId="6" borderId="0" xfId="0" applyFill="1" applyProtection="1">
      <protection hidden="1"/>
    </xf>
    <xf numFmtId="0" fontId="0" fillId="7" borderId="0" xfId="0" applyFill="1" applyProtection="1">
      <protection hidden="1"/>
    </xf>
    <xf numFmtId="0" fontId="0" fillId="4" borderId="0" xfId="0" applyFill="1" applyProtection="1">
      <protection hidden="1"/>
    </xf>
    <xf numFmtId="44" fontId="0" fillId="2" borderId="25" xfId="1" applyFont="1" applyFill="1" applyBorder="1" applyProtection="1">
      <protection hidden="1"/>
    </xf>
    <xf numFmtId="0" fontId="0" fillId="2" borderId="25" xfId="0" applyFill="1" applyBorder="1" applyAlignment="1" applyProtection="1">
      <alignment horizontal="center"/>
      <protection hidden="1"/>
    </xf>
    <xf numFmtId="0" fontId="0" fillId="2" borderId="25" xfId="0" applyFill="1" applyBorder="1" applyProtection="1">
      <protection hidden="1"/>
    </xf>
    <xf numFmtId="44" fontId="0" fillId="2" borderId="26" xfId="1" applyFont="1" applyFill="1" applyBorder="1" applyProtection="1">
      <protection hidden="1"/>
    </xf>
    <xf numFmtId="44" fontId="0" fillId="2" borderId="3" xfId="1" applyFont="1" applyFill="1" applyBorder="1" applyProtection="1">
      <protection hidden="1"/>
    </xf>
    <xf numFmtId="0" fontId="0" fillId="2" borderId="3" xfId="0" applyFill="1" applyBorder="1" applyAlignment="1" applyProtection="1">
      <alignment horizontal="center"/>
      <protection hidden="1"/>
    </xf>
    <xf numFmtId="0" fontId="0" fillId="2" borderId="3" xfId="0" applyFill="1" applyBorder="1" applyProtection="1">
      <protection hidden="1"/>
    </xf>
    <xf numFmtId="44" fontId="0" fillId="2" borderId="11" xfId="0" applyNumberFormat="1" applyFill="1" applyBorder="1" applyProtection="1">
      <protection hidden="1"/>
    </xf>
    <xf numFmtId="0" fontId="1" fillId="5" borderId="0" xfId="0" applyFont="1" applyFill="1" applyProtection="1">
      <protection hidden="1"/>
    </xf>
    <xf numFmtId="0" fontId="12" fillId="5" borderId="0" xfId="0" applyFont="1" applyFill="1" applyProtection="1">
      <protection hidden="1"/>
    </xf>
    <xf numFmtId="0" fontId="1" fillId="3" borderId="0" xfId="0" applyFont="1" applyFill="1" applyProtection="1">
      <protection hidden="1"/>
    </xf>
    <xf numFmtId="0" fontId="1" fillId="8" borderId="0" xfId="0" applyFont="1" applyFill="1" applyProtection="1">
      <protection hidden="1"/>
    </xf>
    <xf numFmtId="0" fontId="14" fillId="5" borderId="23" xfId="0" applyFont="1" applyFill="1" applyBorder="1" applyAlignment="1" applyProtection="1">
      <alignment horizontal="center"/>
      <protection hidden="1"/>
    </xf>
    <xf numFmtId="0" fontId="14" fillId="5" borderId="8" xfId="0" applyFont="1" applyFill="1" applyBorder="1" applyAlignment="1" applyProtection="1">
      <alignment horizontal="center"/>
      <protection hidden="1"/>
    </xf>
    <xf numFmtId="0" fontId="0" fillId="2" borderId="0" xfId="0" applyFill="1" applyAlignment="1" applyProtection="1">
      <alignment horizontal="left"/>
      <protection hidden="1"/>
    </xf>
    <xf numFmtId="0" fontId="2" fillId="2" borderId="0" xfId="0" applyFont="1" applyFill="1" applyAlignment="1" applyProtection="1">
      <alignment horizontal="left"/>
      <protection hidden="1"/>
    </xf>
    <xf numFmtId="0" fontId="2" fillId="2" borderId="0" xfId="0" applyFont="1" applyFill="1" applyAlignment="1" applyProtection="1">
      <alignment horizontal="left" vertical="top" wrapText="1"/>
      <protection hidden="1"/>
    </xf>
    <xf numFmtId="0" fontId="0" fillId="2" borderId="0" xfId="0" applyFill="1" applyAlignment="1" applyProtection="1">
      <alignment horizontal="center"/>
      <protection hidden="1"/>
    </xf>
    <xf numFmtId="0" fontId="0" fillId="2" borderId="27" xfId="0" applyFill="1" applyBorder="1" applyProtection="1">
      <protection hidden="1"/>
    </xf>
    <xf numFmtId="0" fontId="0" fillId="2" borderId="28" xfId="0" applyFill="1" applyBorder="1" applyProtection="1">
      <protection hidden="1"/>
    </xf>
    <xf numFmtId="0" fontId="0" fillId="2" borderId="29" xfId="0" applyFill="1" applyBorder="1" applyProtection="1">
      <protection hidden="1"/>
    </xf>
    <xf numFmtId="0" fontId="2" fillId="2" borderId="30" xfId="0" applyFont="1" applyFill="1" applyBorder="1" applyProtection="1">
      <protection hidden="1"/>
    </xf>
    <xf numFmtId="0" fontId="0" fillId="2" borderId="31" xfId="0" applyFill="1" applyBorder="1" applyProtection="1">
      <protection hidden="1"/>
    </xf>
    <xf numFmtId="0" fontId="0" fillId="2" borderId="30" xfId="0" applyFill="1" applyBorder="1" applyProtection="1">
      <protection hidden="1"/>
    </xf>
    <xf numFmtId="0" fontId="0" fillId="2" borderId="26" xfId="0" applyFill="1" applyBorder="1" applyProtection="1">
      <protection hidden="1"/>
    </xf>
    <xf numFmtId="0" fontId="0" fillId="2" borderId="32" xfId="0" applyFill="1" applyBorder="1" applyProtection="1">
      <protection hidden="1"/>
    </xf>
    <xf numFmtId="0" fontId="0" fillId="2" borderId="33" xfId="0" applyFill="1" applyBorder="1" applyProtection="1">
      <protection hidden="1"/>
    </xf>
    <xf numFmtId="0" fontId="0" fillId="2" borderId="28" xfId="0" applyFill="1" applyBorder="1" applyAlignment="1" applyProtection="1">
      <alignment vertical="center"/>
      <protection hidden="1"/>
    </xf>
    <xf numFmtId="0" fontId="0" fillId="2" borderId="29" xfId="0" applyFill="1" applyBorder="1" applyAlignment="1" applyProtection="1">
      <alignment vertical="center"/>
      <protection hidden="1"/>
    </xf>
    <xf numFmtId="0" fontId="1" fillId="2" borderId="30" xfId="0" applyFont="1" applyFill="1" applyBorder="1" applyProtection="1">
      <protection hidden="1"/>
    </xf>
    <xf numFmtId="0" fontId="13" fillId="2" borderId="0" xfId="0" applyFont="1" applyFill="1" applyProtection="1">
      <protection hidden="1"/>
    </xf>
    <xf numFmtId="0" fontId="13" fillId="2" borderId="31" xfId="0" applyFont="1" applyFill="1" applyBorder="1" applyProtection="1">
      <protection hidden="1"/>
    </xf>
    <xf numFmtId="0" fontId="1" fillId="2" borderId="26" xfId="0" applyFont="1" applyFill="1" applyBorder="1" applyProtection="1">
      <protection hidden="1"/>
    </xf>
    <xf numFmtId="0" fontId="1" fillId="2" borderId="32" xfId="0" applyFont="1" applyFill="1" applyBorder="1" applyProtection="1">
      <protection hidden="1"/>
    </xf>
    <xf numFmtId="0" fontId="1" fillId="2" borderId="33" xfId="0" applyFont="1" applyFill="1" applyBorder="1" applyProtection="1">
      <protection hidden="1"/>
    </xf>
    <xf numFmtId="2" fontId="0" fillId="2" borderId="0" xfId="0" applyNumberFormat="1" applyFill="1" applyProtection="1">
      <protection hidden="1"/>
    </xf>
    <xf numFmtId="0" fontId="2" fillId="2" borderId="0" xfId="0" applyFont="1" applyFill="1" applyAlignment="1" applyProtection="1">
      <alignment horizontal="center"/>
      <protection hidden="1"/>
    </xf>
    <xf numFmtId="0" fontId="10" fillId="2" borderId="0" xfId="3" applyFill="1" applyBorder="1" applyAlignment="1" applyProtection="1">
      <alignment horizontal="center"/>
      <protection locked="0" hidden="1"/>
    </xf>
    <xf numFmtId="3" fontId="0" fillId="2" borderId="0" xfId="0" applyNumberFormat="1" applyFill="1" applyProtection="1">
      <protection hidden="1"/>
    </xf>
    <xf numFmtId="4" fontId="0" fillId="2" borderId="0" xfId="0" applyNumberFormat="1" applyFill="1" applyProtection="1">
      <protection locked="0" hidden="1"/>
    </xf>
    <xf numFmtId="4" fontId="0" fillId="2" borderId="0" xfId="0" applyNumberFormat="1" applyFill="1" applyProtection="1">
      <protection hidden="1"/>
    </xf>
    <xf numFmtId="0" fontId="4" fillId="2" borderId="0" xfId="0" applyFont="1" applyFill="1" applyAlignment="1" applyProtection="1">
      <alignment horizontal="center" vertical="center"/>
      <protection hidden="1"/>
    </xf>
    <xf numFmtId="4" fontId="4" fillId="2" borderId="0" xfId="0" applyNumberFormat="1" applyFont="1" applyFill="1" applyAlignment="1" applyProtection="1">
      <alignment horizontal="center" vertical="center"/>
      <protection hidden="1"/>
    </xf>
    <xf numFmtId="0" fontId="4" fillId="7" borderId="34" xfId="0" applyFont="1" applyFill="1" applyBorder="1" applyAlignment="1" applyProtection="1">
      <alignment horizontal="center" vertical="center"/>
      <protection hidden="1"/>
    </xf>
    <xf numFmtId="0" fontId="4" fillId="7" borderId="1" xfId="0" applyFont="1" applyFill="1" applyBorder="1" applyAlignment="1" applyProtection="1">
      <alignment horizontal="center" vertical="center"/>
      <protection hidden="1"/>
    </xf>
    <xf numFmtId="0" fontId="0" fillId="2" borderId="0" xfId="0" applyFill="1" applyAlignment="1" applyProtection="1">
      <alignment vertical="top"/>
      <protection hidden="1"/>
    </xf>
    <xf numFmtId="0" fontId="1" fillId="2" borderId="0" xfId="3" applyFont="1" applyFill="1" applyBorder="1" applyAlignment="1" applyProtection="1">
      <protection locked="0" hidden="1"/>
    </xf>
    <xf numFmtId="0" fontId="0" fillId="2" borderId="0" xfId="0" applyFill="1" applyProtection="1">
      <protection locked="0" hidden="1"/>
    </xf>
    <xf numFmtId="0" fontId="10" fillId="2" borderId="0" xfId="3" applyFill="1" applyBorder="1" applyAlignment="1" applyProtection="1">
      <protection locked="0" hidden="1"/>
    </xf>
    <xf numFmtId="0" fontId="25" fillId="2" borderId="0" xfId="0" applyFont="1" applyFill="1" applyAlignment="1" applyProtection="1">
      <alignment vertical="top"/>
      <protection hidden="1"/>
    </xf>
    <xf numFmtId="2" fontId="0" fillId="4" borderId="3" xfId="0" applyNumberFormat="1" applyFill="1" applyBorder="1" applyProtection="1">
      <protection hidden="1"/>
    </xf>
    <xf numFmtId="0" fontId="0" fillId="4" borderId="3" xfId="0" applyFill="1" applyBorder="1" applyProtection="1">
      <protection hidden="1"/>
    </xf>
    <xf numFmtId="2" fontId="0" fillId="2" borderId="3" xfId="0" applyNumberFormat="1" applyFill="1" applyBorder="1" applyProtection="1">
      <protection hidden="1"/>
    </xf>
    <xf numFmtId="2" fontId="0" fillId="0" borderId="3" xfId="0" applyNumberFormat="1" applyBorder="1" applyProtection="1">
      <protection hidden="1"/>
    </xf>
    <xf numFmtId="0" fontId="1" fillId="2" borderId="0" xfId="0" applyFont="1" applyFill="1" applyAlignment="1" applyProtection="1">
      <alignment vertical="center"/>
      <protection hidden="1"/>
    </xf>
    <xf numFmtId="0" fontId="0" fillId="2" borderId="0" xfId="0" applyFill="1" applyAlignment="1" applyProtection="1">
      <alignment vertical="center"/>
      <protection hidden="1"/>
    </xf>
    <xf numFmtId="0" fontId="1" fillId="2" borderId="0" xfId="0" applyFont="1" applyFill="1" applyProtection="1">
      <protection hidden="1"/>
    </xf>
    <xf numFmtId="0" fontId="0" fillId="2" borderId="0" xfId="0" applyFill="1" applyAlignment="1" applyProtection="1">
      <alignment horizontal="center" vertical="center"/>
      <protection hidden="1"/>
    </xf>
    <xf numFmtId="0" fontId="0" fillId="2" borderId="0" xfId="0" applyFill="1" applyAlignment="1" applyProtection="1">
      <alignment horizontal="left" vertical="top"/>
      <protection hidden="1"/>
    </xf>
    <xf numFmtId="4" fontId="11" fillId="2" borderId="0" xfId="0" applyNumberFormat="1" applyFont="1" applyFill="1" applyAlignment="1" applyProtection="1">
      <alignment vertical="center"/>
      <protection hidden="1"/>
    </xf>
    <xf numFmtId="0" fontId="9" fillId="2" borderId="27" xfId="0" applyFont="1" applyFill="1" applyBorder="1" applyAlignment="1" applyProtection="1">
      <alignment vertical="center"/>
      <protection hidden="1"/>
    </xf>
    <xf numFmtId="49" fontId="2" fillId="2" borderId="27" xfId="0" applyNumberFormat="1" applyFont="1" applyFill="1" applyBorder="1" applyProtection="1">
      <protection hidden="1"/>
    </xf>
    <xf numFmtId="49" fontId="0" fillId="2" borderId="28" xfId="0" applyNumberFormat="1" applyFill="1" applyBorder="1" applyAlignment="1" applyProtection="1">
      <alignment wrapText="1"/>
      <protection hidden="1"/>
    </xf>
    <xf numFmtId="49" fontId="0" fillId="2" borderId="29" xfId="0" applyNumberFormat="1" applyFill="1" applyBorder="1" applyAlignment="1" applyProtection="1">
      <alignment wrapText="1"/>
      <protection hidden="1"/>
    </xf>
    <xf numFmtId="0" fontId="2" fillId="2" borderId="31" xfId="0" applyFont="1" applyFill="1" applyBorder="1" applyAlignment="1" applyProtection="1">
      <alignment vertical="top"/>
      <protection hidden="1"/>
    </xf>
    <xf numFmtId="49" fontId="0" fillId="2" borderId="30" xfId="0" applyNumberFormat="1" applyFill="1" applyBorder="1" applyAlignment="1" applyProtection="1">
      <alignment wrapText="1"/>
      <protection hidden="1"/>
    </xf>
    <xf numFmtId="49" fontId="0" fillId="2" borderId="26" xfId="0" applyNumberFormat="1" applyFill="1" applyBorder="1" applyAlignment="1" applyProtection="1">
      <alignment wrapText="1"/>
      <protection hidden="1"/>
    </xf>
    <xf numFmtId="49" fontId="0" fillId="2" borderId="32" xfId="0" applyNumberFormat="1" applyFill="1" applyBorder="1" applyAlignment="1" applyProtection="1">
      <alignment wrapText="1"/>
      <protection hidden="1"/>
    </xf>
    <xf numFmtId="49" fontId="0" fillId="2" borderId="33" xfId="0" applyNumberFormat="1" applyFill="1" applyBorder="1" applyAlignment="1" applyProtection="1">
      <alignment wrapText="1"/>
      <protection hidden="1"/>
    </xf>
    <xf numFmtId="0" fontId="29" fillId="2" borderId="0" xfId="0" applyFont="1" applyFill="1"/>
    <xf numFmtId="0" fontId="30" fillId="2" borderId="0" xfId="0" applyFont="1" applyFill="1"/>
    <xf numFmtId="0" fontId="23" fillId="2" borderId="0" xfId="0" applyFont="1" applyFill="1"/>
    <xf numFmtId="0" fontId="30" fillId="2" borderId="0" xfId="0" applyFont="1" applyFill="1" applyAlignment="1">
      <alignment horizontal="left"/>
    </xf>
    <xf numFmtId="0" fontId="30" fillId="2" borderId="0" xfId="0" applyFont="1" applyFill="1" applyAlignment="1">
      <alignment horizontal="right"/>
    </xf>
    <xf numFmtId="0" fontId="2" fillId="2" borderId="0" xfId="0" applyFont="1" applyFill="1" applyAlignment="1">
      <alignment horizontal="center"/>
    </xf>
    <xf numFmtId="2" fontId="0" fillId="2" borderId="0" xfId="0" applyNumberFormat="1" applyFill="1"/>
    <xf numFmtId="0" fontId="30" fillId="2" borderId="0" xfId="0" applyFont="1" applyFill="1" applyProtection="1">
      <protection locked="0"/>
    </xf>
    <xf numFmtId="0" fontId="31" fillId="2" borderId="0" xfId="0" applyFont="1" applyFill="1"/>
    <xf numFmtId="0" fontId="32" fillId="2" borderId="0" xfId="0" applyFont="1" applyFill="1" applyAlignment="1">
      <alignment horizontal="center"/>
    </xf>
    <xf numFmtId="9" fontId="30" fillId="2" borderId="0" xfId="0" applyNumberFormat="1" applyFont="1" applyFill="1" applyAlignment="1" applyProtection="1">
      <alignment horizontal="center"/>
      <protection locked="0"/>
    </xf>
    <xf numFmtId="9" fontId="30" fillId="2" borderId="0" xfId="0" applyNumberFormat="1" applyFont="1" applyFill="1" applyAlignment="1">
      <alignment horizontal="center"/>
    </xf>
    <xf numFmtId="0" fontId="30" fillId="2" borderId="0" xfId="0" applyFont="1" applyFill="1" applyAlignment="1">
      <alignment horizontal="center"/>
    </xf>
    <xf numFmtId="0" fontId="30" fillId="2" borderId="27" xfId="0" applyFont="1" applyFill="1" applyBorder="1"/>
    <xf numFmtId="0" fontId="30" fillId="2" borderId="28" xfId="0" applyFont="1" applyFill="1" applyBorder="1"/>
    <xf numFmtId="0" fontId="23" fillId="2" borderId="30" xfId="0" applyFont="1" applyFill="1" applyBorder="1"/>
    <xf numFmtId="0" fontId="30" fillId="2" borderId="30" xfId="0" applyFont="1" applyFill="1" applyBorder="1"/>
    <xf numFmtId="0" fontId="30" fillId="2" borderId="26" xfId="0" applyFont="1" applyFill="1" applyBorder="1"/>
    <xf numFmtId="0" fontId="30" fillId="2" borderId="32" xfId="0" applyFont="1" applyFill="1" applyBorder="1"/>
    <xf numFmtId="0" fontId="0" fillId="0" borderId="41" xfId="0" applyBorder="1" applyAlignment="1" applyProtection="1">
      <alignment horizontal="center"/>
      <protection hidden="1"/>
    </xf>
    <xf numFmtId="0" fontId="0" fillId="0" borderId="42" xfId="0" applyBorder="1" applyAlignment="1" applyProtection="1">
      <alignment horizontal="center"/>
      <protection hidden="1"/>
    </xf>
    <xf numFmtId="3" fontId="0" fillId="0" borderId="42" xfId="0" applyNumberFormat="1" applyBorder="1" applyProtection="1">
      <protection hidden="1"/>
    </xf>
    <xf numFmtId="0" fontId="2" fillId="5" borderId="26" xfId="0" applyFont="1" applyFill="1" applyBorder="1" applyProtection="1">
      <protection hidden="1"/>
    </xf>
    <xf numFmtId="2" fontId="2" fillId="5" borderId="26" xfId="0" applyNumberFormat="1" applyFont="1" applyFill="1" applyBorder="1" applyProtection="1">
      <protection hidden="1"/>
    </xf>
    <xf numFmtId="0" fontId="2" fillId="0" borderId="43" xfId="0" applyFont="1" applyBorder="1" applyAlignment="1" applyProtection="1">
      <alignment horizontal="center"/>
      <protection hidden="1"/>
    </xf>
    <xf numFmtId="0" fontId="2" fillId="0" borderId="10" xfId="0" applyFont="1" applyBorder="1" applyAlignment="1" applyProtection="1">
      <alignment horizontal="center"/>
      <protection hidden="1"/>
    </xf>
    <xf numFmtId="0" fontId="2" fillId="0" borderId="18" xfId="0" applyFont="1" applyBorder="1" applyAlignment="1" applyProtection="1">
      <alignment horizontal="center"/>
      <protection hidden="1"/>
    </xf>
    <xf numFmtId="0" fontId="2" fillId="0" borderId="42" xfId="0" applyFont="1" applyBorder="1" applyAlignment="1" applyProtection="1">
      <alignment horizontal="center"/>
      <protection hidden="1"/>
    </xf>
    <xf numFmtId="0" fontId="2" fillId="0" borderId="16" xfId="0" applyFont="1" applyBorder="1" applyAlignment="1" applyProtection="1">
      <alignment horizontal="center"/>
      <protection hidden="1"/>
    </xf>
    <xf numFmtId="0" fontId="2" fillId="0" borderId="7" xfId="0" applyFont="1" applyBorder="1" applyAlignment="1" applyProtection="1">
      <alignment horizontal="center"/>
      <protection hidden="1"/>
    </xf>
    <xf numFmtId="2" fontId="0" fillId="2" borderId="3" xfId="0" applyNumberFormat="1" applyFill="1" applyBorder="1" applyAlignment="1" applyProtection="1">
      <alignment horizontal="center"/>
      <protection hidden="1"/>
    </xf>
    <xf numFmtId="0" fontId="4" fillId="5" borderId="23" xfId="0" applyFont="1" applyFill="1" applyBorder="1" applyAlignment="1" applyProtection="1">
      <alignment horizontal="center"/>
      <protection hidden="1"/>
    </xf>
    <xf numFmtId="0" fontId="2" fillId="0" borderId="24" xfId="0" applyFont="1" applyBorder="1" applyAlignment="1" applyProtection="1">
      <alignment horizontal="left"/>
      <protection hidden="1"/>
    </xf>
    <xf numFmtId="0" fontId="2" fillId="0" borderId="8" xfId="0" applyFont="1" applyBorder="1" applyAlignment="1" applyProtection="1">
      <alignment horizontal="left"/>
      <protection hidden="1"/>
    </xf>
    <xf numFmtId="4" fontId="0" fillId="0" borderId="22" xfId="0" applyNumberFormat="1" applyBorder="1" applyProtection="1">
      <protection hidden="1"/>
    </xf>
    <xf numFmtId="3" fontId="0" fillId="12" borderId="39" xfId="0" applyNumberFormat="1" applyFill="1" applyBorder="1" applyProtection="1">
      <protection hidden="1"/>
    </xf>
    <xf numFmtId="2" fontId="0" fillId="12" borderId="44" xfId="0" applyNumberFormat="1" applyFill="1" applyBorder="1" applyProtection="1">
      <protection hidden="1"/>
    </xf>
    <xf numFmtId="2" fontId="0" fillId="12" borderId="39" xfId="0" applyNumberFormat="1" applyFill="1" applyBorder="1" applyProtection="1">
      <protection hidden="1"/>
    </xf>
    <xf numFmtId="0" fontId="2" fillId="13" borderId="22" xfId="0" applyFont="1" applyFill="1" applyBorder="1" applyAlignment="1" applyProtection="1">
      <alignment horizontal="center"/>
      <protection hidden="1"/>
    </xf>
    <xf numFmtId="2" fontId="4" fillId="5" borderId="44" xfId="0" applyNumberFormat="1" applyFont="1" applyFill="1" applyBorder="1" applyProtection="1">
      <protection hidden="1"/>
    </xf>
    <xf numFmtId="3" fontId="4" fillId="0" borderId="0" xfId="0" applyNumberFormat="1" applyFont="1" applyProtection="1">
      <protection hidden="1"/>
    </xf>
    <xf numFmtId="3" fontId="4" fillId="0" borderId="44" xfId="0" applyNumberFormat="1" applyFont="1" applyBorder="1" applyProtection="1">
      <protection hidden="1"/>
    </xf>
    <xf numFmtId="0" fontId="4" fillId="0" borderId="0" xfId="0" applyFont="1" applyProtection="1">
      <protection hidden="1"/>
    </xf>
    <xf numFmtId="0" fontId="4" fillId="2" borderId="0" xfId="0" applyFont="1" applyFill="1" applyProtection="1">
      <protection hidden="1"/>
    </xf>
    <xf numFmtId="3" fontId="4" fillId="0" borderId="2" xfId="0" applyNumberFormat="1" applyFont="1" applyBorder="1" applyProtection="1">
      <protection hidden="1"/>
    </xf>
    <xf numFmtId="4" fontId="4" fillId="5" borderId="2" xfId="0" applyNumberFormat="1" applyFont="1" applyFill="1" applyBorder="1" applyProtection="1">
      <protection hidden="1"/>
    </xf>
    <xf numFmtId="0" fontId="2" fillId="14" borderId="22" xfId="0" applyFont="1" applyFill="1" applyBorder="1" applyAlignment="1" applyProtection="1">
      <alignment horizontal="center"/>
      <protection hidden="1"/>
    </xf>
    <xf numFmtId="0" fontId="2" fillId="15" borderId="22" xfId="0" applyFont="1" applyFill="1" applyBorder="1" applyAlignment="1" applyProtection="1">
      <alignment horizontal="center"/>
      <protection hidden="1"/>
    </xf>
    <xf numFmtId="3" fontId="0" fillId="0" borderId="23" xfId="0" applyNumberFormat="1" applyBorder="1" applyProtection="1">
      <protection hidden="1"/>
    </xf>
    <xf numFmtId="0" fontId="2" fillId="0" borderId="23" xfId="0" applyFont="1" applyBorder="1" applyProtection="1">
      <protection hidden="1"/>
    </xf>
    <xf numFmtId="4" fontId="0" fillId="0" borderId="8" xfId="0" applyNumberFormat="1" applyBorder="1" applyProtection="1">
      <protection locked="0" hidden="1"/>
    </xf>
    <xf numFmtId="0" fontId="0" fillId="0" borderId="5" xfId="0" applyBorder="1" applyProtection="1">
      <protection hidden="1"/>
    </xf>
    <xf numFmtId="0" fontId="0" fillId="0" borderId="22" xfId="0" applyBorder="1" applyProtection="1">
      <protection hidden="1"/>
    </xf>
    <xf numFmtId="4" fontId="0" fillId="0" borderId="23" xfId="0" applyNumberFormat="1" applyBorder="1" applyProtection="1">
      <protection locked="0" hidden="1"/>
    </xf>
    <xf numFmtId="3" fontId="0" fillId="0" borderId="45" xfId="0" applyNumberFormat="1" applyBorder="1" applyProtection="1">
      <protection hidden="1"/>
    </xf>
    <xf numFmtId="0" fontId="0" fillId="0" borderId="3" xfId="0" applyBorder="1" applyAlignment="1" applyProtection="1">
      <alignment horizontal="center"/>
      <protection hidden="1"/>
    </xf>
    <xf numFmtId="0" fontId="0" fillId="16" borderId="3" xfId="0" applyFill="1" applyBorder="1" applyProtection="1">
      <protection hidden="1"/>
    </xf>
    <xf numFmtId="0" fontId="30" fillId="0" borderId="3" xfId="0" applyFont="1" applyBorder="1" applyProtection="1">
      <protection locked="0"/>
    </xf>
    <xf numFmtId="0" fontId="30" fillId="0" borderId="4" xfId="0" applyFont="1" applyBorder="1" applyProtection="1">
      <protection locked="0"/>
    </xf>
    <xf numFmtId="0" fontId="4" fillId="10" borderId="38" xfId="0" applyFont="1" applyFill="1" applyBorder="1" applyAlignment="1" applyProtection="1">
      <alignment horizontal="center" vertical="center"/>
      <protection hidden="1"/>
    </xf>
    <xf numFmtId="0" fontId="4" fillId="10" borderId="23" xfId="0" applyFont="1" applyFill="1" applyBorder="1" applyAlignment="1" applyProtection="1">
      <alignment horizontal="center" vertical="center"/>
      <protection hidden="1"/>
    </xf>
    <xf numFmtId="0" fontId="4" fillId="10" borderId="34" xfId="0" applyFont="1" applyFill="1" applyBorder="1" applyAlignment="1" applyProtection="1">
      <alignment horizontal="center" vertical="center"/>
      <protection hidden="1"/>
    </xf>
    <xf numFmtId="0" fontId="4" fillId="10" borderId="1" xfId="0" applyFont="1" applyFill="1" applyBorder="1" applyAlignment="1" applyProtection="1">
      <alignment horizontal="center" vertical="center"/>
      <protection hidden="1"/>
    </xf>
    <xf numFmtId="0" fontId="4" fillId="10" borderId="24" xfId="0" applyFont="1" applyFill="1" applyBorder="1" applyAlignment="1" applyProtection="1">
      <alignment horizontal="left" vertical="center"/>
      <protection hidden="1"/>
    </xf>
    <xf numFmtId="0" fontId="4" fillId="10" borderId="23" xfId="0" applyFont="1" applyFill="1" applyBorder="1" applyAlignment="1" applyProtection="1">
      <alignment horizontal="left" vertical="center"/>
      <protection hidden="1"/>
    </xf>
    <xf numFmtId="0" fontId="49" fillId="10" borderId="23" xfId="0" applyFont="1" applyFill="1" applyBorder="1" applyAlignment="1" applyProtection="1">
      <alignment horizontal="center" vertical="center"/>
      <protection hidden="1"/>
    </xf>
    <xf numFmtId="0" fontId="49" fillId="10" borderId="8" xfId="0" applyFont="1" applyFill="1" applyBorder="1" applyAlignment="1" applyProtection="1">
      <alignment horizontal="center" vertical="center"/>
      <protection hidden="1"/>
    </xf>
    <xf numFmtId="0" fontId="4" fillId="10" borderId="1" xfId="0" applyFont="1" applyFill="1" applyBorder="1" applyAlignment="1" applyProtection="1">
      <alignment horizontal="left" vertical="center"/>
      <protection hidden="1"/>
    </xf>
    <xf numFmtId="0" fontId="19" fillId="10" borderId="1" xfId="0" applyFont="1" applyFill="1" applyBorder="1" applyAlignment="1" applyProtection="1">
      <alignment horizontal="center" vertical="center"/>
      <protection hidden="1"/>
    </xf>
    <xf numFmtId="4" fontId="49" fillId="10" borderId="35" xfId="0" applyNumberFormat="1" applyFont="1" applyFill="1" applyBorder="1" applyAlignment="1" applyProtection="1">
      <alignment horizontal="center" vertical="center"/>
      <protection locked="0" hidden="1"/>
    </xf>
    <xf numFmtId="4" fontId="49" fillId="10" borderId="36" xfId="0" applyNumberFormat="1" applyFont="1" applyFill="1" applyBorder="1" applyAlignment="1" applyProtection="1">
      <alignment horizontal="center" vertical="center"/>
      <protection locked="0" hidden="1"/>
    </xf>
    <xf numFmtId="0" fontId="30" fillId="0" borderId="3" xfId="0" applyFont="1" applyBorder="1" applyProtection="1">
      <protection locked="0" hidden="1"/>
    </xf>
    <xf numFmtId="4" fontId="34" fillId="0" borderId="25" xfId="0" applyNumberFormat="1" applyFont="1" applyBorder="1" applyProtection="1">
      <protection hidden="1"/>
    </xf>
    <xf numFmtId="0" fontId="30" fillId="0" borderId="4" xfId="0" applyFont="1" applyBorder="1" applyProtection="1">
      <protection locked="0" hidden="1"/>
    </xf>
    <xf numFmtId="4" fontId="33" fillId="0" borderId="2" xfId="0" applyNumberFormat="1" applyFont="1" applyBorder="1" applyProtection="1">
      <protection hidden="1"/>
    </xf>
    <xf numFmtId="2" fontId="34" fillId="2" borderId="0" xfId="0" applyNumberFormat="1" applyFont="1" applyFill="1"/>
    <xf numFmtId="0" fontId="34" fillId="0" borderId="2" xfId="0" applyFont="1" applyBorder="1"/>
    <xf numFmtId="0" fontId="34" fillId="2" borderId="0" xfId="0" applyFont="1" applyFill="1"/>
    <xf numFmtId="4" fontId="34" fillId="0" borderId="3" xfId="0" applyNumberFormat="1" applyFont="1" applyBorder="1"/>
    <xf numFmtId="4" fontId="33" fillId="0" borderId="2" xfId="0" applyNumberFormat="1" applyFont="1" applyBorder="1"/>
    <xf numFmtId="0" fontId="43" fillId="2" borderId="0" xfId="0" applyFont="1" applyFill="1"/>
    <xf numFmtId="44" fontId="33" fillId="2" borderId="0" xfId="0" applyNumberFormat="1" applyFont="1" applyFill="1"/>
    <xf numFmtId="44" fontId="33" fillId="2" borderId="0" xfId="0" applyNumberFormat="1" applyFont="1" applyFill="1" applyProtection="1">
      <protection hidden="1"/>
    </xf>
    <xf numFmtId="44" fontId="34" fillId="2" borderId="0" xfId="0" applyNumberFormat="1" applyFont="1" applyFill="1" applyProtection="1">
      <protection hidden="1"/>
    </xf>
    <xf numFmtId="0" fontId="34" fillId="2" borderId="0" xfId="0" applyFont="1" applyFill="1" applyAlignment="1">
      <alignment horizontal="right" vertical="center"/>
    </xf>
    <xf numFmtId="9" fontId="30" fillId="0" borderId="0" xfId="0" applyNumberFormat="1" applyFont="1" applyAlignment="1" applyProtection="1">
      <alignment horizontal="center"/>
      <protection locked="0"/>
    </xf>
    <xf numFmtId="167" fontId="34" fillId="3" borderId="3" xfId="0" applyNumberFormat="1" applyFont="1" applyFill="1" applyBorder="1" applyAlignment="1" applyProtection="1">
      <alignment horizontal="center"/>
      <protection locked="0"/>
    </xf>
    <xf numFmtId="0" fontId="33" fillId="2" borderId="0" xfId="0" applyFont="1" applyFill="1"/>
    <xf numFmtId="0" fontId="4" fillId="2" borderId="27" xfId="0" applyFont="1" applyFill="1" applyBorder="1"/>
    <xf numFmtId="44" fontId="45" fillId="2" borderId="29" xfId="0" applyNumberFormat="1" applyFont="1" applyFill="1" applyBorder="1" applyProtection="1">
      <protection hidden="1"/>
    </xf>
    <xf numFmtId="0" fontId="34" fillId="2" borderId="33" xfId="0" applyFont="1" applyFill="1" applyBorder="1"/>
    <xf numFmtId="0" fontId="4" fillId="10" borderId="46" xfId="0" applyFont="1" applyFill="1" applyBorder="1" applyAlignment="1" applyProtection="1">
      <alignment horizontal="left" vertical="center"/>
      <protection hidden="1"/>
    </xf>
    <xf numFmtId="9" fontId="44" fillId="0" borderId="3" xfId="0" applyNumberFormat="1" applyFont="1" applyBorder="1" applyAlignment="1">
      <alignment horizontal="center" vertical="center"/>
    </xf>
    <xf numFmtId="0" fontId="2" fillId="0" borderId="0" xfId="0" applyFont="1" applyAlignment="1" applyProtection="1">
      <alignment horizontal="center"/>
      <protection hidden="1"/>
    </xf>
    <xf numFmtId="2" fontId="2" fillId="5" borderId="0" xfId="0" applyNumberFormat="1" applyFont="1" applyFill="1" applyProtection="1">
      <protection hidden="1"/>
    </xf>
    <xf numFmtId="2" fontId="4" fillId="16" borderId="0" xfId="0" applyNumberFormat="1" applyFont="1" applyFill="1" applyProtection="1">
      <protection hidden="1"/>
    </xf>
    <xf numFmtId="4" fontId="0" fillId="16" borderId="0" xfId="0" applyNumberFormat="1" applyFill="1" applyProtection="1">
      <protection locked="0" hidden="1"/>
    </xf>
    <xf numFmtId="4" fontId="0" fillId="16" borderId="0" xfId="0" applyNumberFormat="1" applyFill="1" applyProtection="1">
      <protection hidden="1"/>
    </xf>
    <xf numFmtId="4" fontId="0" fillId="4" borderId="23" xfId="0" applyNumberFormat="1" applyFill="1" applyBorder="1" applyProtection="1">
      <protection locked="0" hidden="1"/>
    </xf>
    <xf numFmtId="4" fontId="0" fillId="0" borderId="14" xfId="0" applyNumberFormat="1" applyBorder="1" applyProtection="1">
      <protection hidden="1"/>
    </xf>
    <xf numFmtId="0" fontId="2" fillId="0" borderId="47" xfId="0" applyFont="1" applyBorder="1" applyAlignment="1" applyProtection="1">
      <alignment horizontal="center"/>
      <protection hidden="1"/>
    </xf>
    <xf numFmtId="0" fontId="0" fillId="0" borderId="48" xfId="0" applyBorder="1" applyAlignment="1" applyProtection="1">
      <alignment horizontal="center"/>
      <protection hidden="1"/>
    </xf>
    <xf numFmtId="0" fontId="0" fillId="0" borderId="7" xfId="0" applyBorder="1" applyAlignment="1" applyProtection="1">
      <alignment horizontal="center"/>
      <protection hidden="1"/>
    </xf>
    <xf numFmtId="0" fontId="2" fillId="5" borderId="19" xfId="0" applyFont="1" applyFill="1" applyBorder="1" applyProtection="1">
      <protection hidden="1"/>
    </xf>
    <xf numFmtId="4" fontId="0" fillId="16" borderId="8" xfId="0" applyNumberFormat="1" applyFill="1" applyBorder="1" applyProtection="1">
      <protection hidden="1"/>
    </xf>
    <xf numFmtId="9" fontId="34" fillId="3" borderId="3" xfId="4" applyFont="1" applyFill="1" applyBorder="1" applyAlignment="1" applyProtection="1">
      <alignment horizontal="center" vertical="center"/>
      <protection locked="0"/>
    </xf>
    <xf numFmtId="0" fontId="33" fillId="2" borderId="0" xfId="0" applyFont="1" applyFill="1" applyAlignment="1">
      <alignment horizontal="center"/>
    </xf>
    <xf numFmtId="0" fontId="33" fillId="2" borderId="0" xfId="0" applyFont="1" applyFill="1" applyAlignment="1">
      <alignment horizontal="left" vertical="center"/>
    </xf>
    <xf numFmtId="0" fontId="50" fillId="2" borderId="0" xfId="0" applyFont="1" applyFill="1" applyProtection="1">
      <protection hidden="1"/>
    </xf>
    <xf numFmtId="167" fontId="34" fillId="2" borderId="0" xfId="0" applyNumberFormat="1" applyFont="1" applyFill="1" applyProtection="1">
      <protection hidden="1"/>
    </xf>
    <xf numFmtId="0" fontId="34" fillId="0" borderId="3" xfId="0" applyFont="1" applyBorder="1" applyAlignment="1" applyProtection="1">
      <alignment horizontal="center" vertical="center"/>
      <protection locked="0"/>
    </xf>
    <xf numFmtId="0" fontId="34" fillId="2" borderId="0" xfId="0" applyFont="1" applyFill="1" applyAlignment="1" applyProtection="1">
      <alignment vertical="center" wrapText="1"/>
      <protection hidden="1"/>
    </xf>
    <xf numFmtId="167" fontId="30" fillId="0" borderId="3" xfId="0" applyNumberFormat="1" applyFont="1" applyBorder="1" applyAlignment="1">
      <alignment horizontal="center" vertical="center"/>
    </xf>
    <xf numFmtId="0" fontId="4" fillId="16" borderId="0" xfId="0" applyFont="1" applyFill="1" applyAlignment="1" applyProtection="1">
      <alignment horizontal="left" vertical="center"/>
      <protection hidden="1"/>
    </xf>
    <xf numFmtId="4" fontId="4" fillId="16" borderId="0" xfId="0" applyNumberFormat="1" applyFont="1" applyFill="1" applyAlignment="1" applyProtection="1">
      <alignment horizontal="center" vertical="center"/>
      <protection hidden="1"/>
    </xf>
    <xf numFmtId="0" fontId="0" fillId="16" borderId="0" xfId="0" applyFill="1" applyAlignment="1">
      <alignment wrapText="1"/>
    </xf>
    <xf numFmtId="0" fontId="4" fillId="16" borderId="0" xfId="0" applyFont="1" applyFill="1" applyAlignment="1" applyProtection="1">
      <alignment vertical="center"/>
      <protection hidden="1"/>
    </xf>
    <xf numFmtId="4" fontId="4" fillId="16" borderId="0" xfId="0" applyNumberFormat="1" applyFont="1" applyFill="1" applyAlignment="1" applyProtection="1">
      <alignment vertical="center"/>
      <protection hidden="1"/>
    </xf>
    <xf numFmtId="4" fontId="4" fillId="3" borderId="2" xfId="0" applyNumberFormat="1" applyFont="1" applyFill="1" applyBorder="1" applyAlignment="1" applyProtection="1">
      <alignment horizontal="center" vertical="center"/>
      <protection locked="0" hidden="1"/>
    </xf>
    <xf numFmtId="0" fontId="0" fillId="0" borderId="26" xfId="0" applyBorder="1" applyAlignment="1" applyProtection="1">
      <alignment horizontal="center"/>
      <protection hidden="1"/>
    </xf>
    <xf numFmtId="3" fontId="0" fillId="0" borderId="42" xfId="0" applyNumberFormat="1" applyBorder="1" applyAlignment="1" applyProtection="1">
      <alignment horizontal="right"/>
      <protection hidden="1"/>
    </xf>
    <xf numFmtId="0" fontId="2" fillId="5" borderId="26" xfId="0" applyFont="1" applyFill="1" applyBorder="1" applyAlignment="1" applyProtection="1">
      <alignment horizontal="right"/>
      <protection hidden="1"/>
    </xf>
    <xf numFmtId="4" fontId="0" fillId="4" borderId="50" xfId="0" applyNumberFormat="1" applyFill="1" applyBorder="1" applyProtection="1">
      <protection locked="0" hidden="1"/>
    </xf>
    <xf numFmtId="4" fontId="0" fillId="0" borderId="44" xfId="0" applyNumberFormat="1" applyBorder="1" applyProtection="1">
      <protection hidden="1"/>
    </xf>
    <xf numFmtId="4" fontId="0" fillId="4" borderId="40" xfId="0" applyNumberFormat="1" applyFill="1" applyBorder="1" applyProtection="1">
      <protection locked="0" hidden="1"/>
    </xf>
    <xf numFmtId="0" fontId="2" fillId="0" borderId="3" xfId="0" applyFont="1" applyBorder="1" applyAlignment="1" applyProtection="1">
      <alignment horizontal="center"/>
      <protection hidden="1"/>
    </xf>
    <xf numFmtId="3" fontId="0" fillId="0" borderId="3" xfId="0" applyNumberFormat="1" applyBorder="1" applyProtection="1">
      <protection hidden="1"/>
    </xf>
    <xf numFmtId="2" fontId="2" fillId="5" borderId="3" xfId="0" applyNumberFormat="1" applyFont="1" applyFill="1" applyBorder="1" applyProtection="1">
      <protection hidden="1"/>
    </xf>
    <xf numFmtId="2" fontId="4" fillId="5" borderId="3" xfId="0" applyNumberFormat="1" applyFont="1" applyFill="1" applyBorder="1" applyProtection="1">
      <protection hidden="1"/>
    </xf>
    <xf numFmtId="2" fontId="2" fillId="0" borderId="3" xfId="0" applyNumberFormat="1" applyFont="1" applyBorder="1" applyProtection="1">
      <protection hidden="1"/>
    </xf>
    <xf numFmtId="0" fontId="0" fillId="0" borderId="43" xfId="0" applyBorder="1" applyProtection="1">
      <protection hidden="1"/>
    </xf>
    <xf numFmtId="0" fontId="0" fillId="0" borderId="12" xfId="0" applyBorder="1" applyProtection="1">
      <protection hidden="1"/>
    </xf>
    <xf numFmtId="3" fontId="0" fillId="0" borderId="43" xfId="0" applyNumberFormat="1" applyBorder="1" applyProtection="1">
      <protection hidden="1"/>
    </xf>
    <xf numFmtId="2" fontId="2" fillId="5" borderId="30" xfId="0" applyNumberFormat="1" applyFont="1" applyFill="1" applyBorder="1" applyProtection="1">
      <protection hidden="1"/>
    </xf>
    <xf numFmtId="9" fontId="46" fillId="2" borderId="32" xfId="4" applyFont="1" applyFill="1" applyBorder="1" applyAlignment="1">
      <alignment horizontal="center"/>
    </xf>
    <xf numFmtId="4" fontId="0" fillId="12" borderId="39" xfId="0" applyNumberFormat="1" applyFill="1" applyBorder="1" applyProtection="1">
      <protection hidden="1"/>
    </xf>
    <xf numFmtId="0" fontId="23" fillId="0" borderId="0" xfId="0" applyFont="1"/>
    <xf numFmtId="3" fontId="4" fillId="0" borderId="11" xfId="0" applyNumberFormat="1" applyFont="1" applyBorder="1" applyProtection="1">
      <protection hidden="1"/>
    </xf>
    <xf numFmtId="0" fontId="0" fillId="4" borderId="3" xfId="0" applyFill="1" applyBorder="1" applyAlignment="1" applyProtection="1">
      <alignment horizontal="center"/>
      <protection hidden="1"/>
    </xf>
    <xf numFmtId="3" fontId="4" fillId="0" borderId="57" xfId="0" applyNumberFormat="1" applyFont="1" applyBorder="1" applyProtection="1">
      <protection hidden="1"/>
    </xf>
    <xf numFmtId="3" fontId="4" fillId="0" borderId="55" xfId="0" applyNumberFormat="1" applyFont="1" applyBorder="1" applyProtection="1">
      <protection hidden="1"/>
    </xf>
    <xf numFmtId="2" fontId="4" fillId="5" borderId="39" xfId="0" applyNumberFormat="1" applyFont="1" applyFill="1" applyBorder="1" applyProtection="1">
      <protection hidden="1"/>
    </xf>
    <xf numFmtId="2" fontId="4" fillId="5" borderId="49" xfId="0" applyNumberFormat="1" applyFont="1" applyFill="1" applyBorder="1" applyProtection="1">
      <protection hidden="1"/>
    </xf>
    <xf numFmtId="9" fontId="23" fillId="2" borderId="0" xfId="0" applyNumberFormat="1" applyFont="1" applyFill="1" applyAlignment="1">
      <alignment horizontal="center"/>
    </xf>
    <xf numFmtId="0" fontId="28" fillId="2" borderId="0" xfId="0" applyFont="1" applyFill="1"/>
    <xf numFmtId="0" fontId="40" fillId="2" borderId="0" xfId="0" applyFont="1" applyFill="1" applyAlignment="1" applyProtection="1">
      <alignment horizontal="center" vertical="center" wrapText="1"/>
      <protection hidden="1"/>
    </xf>
    <xf numFmtId="0" fontId="34" fillId="2" borderId="0" xfId="0" applyFont="1" applyFill="1" applyAlignment="1" applyProtection="1">
      <alignment horizontal="center" vertical="center" wrapText="1"/>
      <protection hidden="1"/>
    </xf>
    <xf numFmtId="0" fontId="30" fillId="21" borderId="11" xfId="0" applyFont="1" applyFill="1" applyBorder="1"/>
    <xf numFmtId="0" fontId="30" fillId="21" borderId="45" xfId="0" applyFont="1" applyFill="1" applyBorder="1"/>
    <xf numFmtId="0" fontId="30" fillId="3" borderId="27" xfId="0" applyFont="1" applyFill="1" applyBorder="1" applyProtection="1">
      <protection locked="0"/>
    </xf>
    <xf numFmtId="0" fontId="30" fillId="3" borderId="28" xfId="0" applyFont="1" applyFill="1" applyBorder="1" applyProtection="1">
      <protection locked="0"/>
    </xf>
    <xf numFmtId="0" fontId="30" fillId="3" borderId="29" xfId="0" applyFont="1" applyFill="1" applyBorder="1" applyProtection="1">
      <protection locked="0"/>
    </xf>
    <xf numFmtId="0" fontId="30" fillId="3" borderId="26" xfId="0" applyFont="1" applyFill="1" applyBorder="1" applyProtection="1">
      <protection locked="0"/>
    </xf>
    <xf numFmtId="0" fontId="30" fillId="3" borderId="32" xfId="0" applyFont="1" applyFill="1" applyBorder="1" applyProtection="1">
      <protection locked="0"/>
    </xf>
    <xf numFmtId="0" fontId="30" fillId="3" borderId="33" xfId="0" applyFont="1" applyFill="1" applyBorder="1" applyProtection="1">
      <protection locked="0"/>
    </xf>
    <xf numFmtId="0" fontId="30" fillId="21" borderId="27" xfId="0" applyFont="1" applyFill="1" applyBorder="1"/>
    <xf numFmtId="0" fontId="30" fillId="21" borderId="28" xfId="0" applyFont="1" applyFill="1" applyBorder="1"/>
    <xf numFmtId="0" fontId="30" fillId="21" borderId="29" xfId="0" applyFont="1" applyFill="1" applyBorder="1"/>
    <xf numFmtId="0" fontId="30" fillId="21" borderId="30" xfId="0" applyFont="1" applyFill="1" applyBorder="1"/>
    <xf numFmtId="0" fontId="30" fillId="21" borderId="0" xfId="0" applyFont="1" applyFill="1"/>
    <xf numFmtId="0" fontId="30" fillId="21" borderId="31" xfId="0" applyFont="1" applyFill="1" applyBorder="1"/>
    <xf numFmtId="0" fontId="30" fillId="21" borderId="26" xfId="0" applyFont="1" applyFill="1" applyBorder="1"/>
    <xf numFmtId="0" fontId="30" fillId="21" borderId="32" xfId="0" applyFont="1" applyFill="1" applyBorder="1"/>
    <xf numFmtId="0" fontId="30" fillId="21" borderId="33" xfId="0" applyFont="1" applyFill="1" applyBorder="1"/>
    <xf numFmtId="0" fontId="23" fillId="21" borderId="27" xfId="0" applyFont="1" applyFill="1" applyBorder="1"/>
    <xf numFmtId="0" fontId="56" fillId="21" borderId="26" xfId="0" applyFont="1" applyFill="1" applyBorder="1"/>
    <xf numFmtId="0" fontId="56" fillId="21" borderId="32" xfId="0" applyFont="1" applyFill="1" applyBorder="1"/>
    <xf numFmtId="0" fontId="56" fillId="21" borderId="33" xfId="0" applyFont="1" applyFill="1" applyBorder="1"/>
    <xf numFmtId="0" fontId="1" fillId="2" borderId="0" xfId="0" applyFont="1" applyFill="1" applyAlignment="1" applyProtection="1">
      <alignment horizontal="left" vertical="top" wrapText="1"/>
      <protection hidden="1"/>
    </xf>
    <xf numFmtId="0" fontId="1" fillId="2" borderId="30" xfId="0" quotePrefix="1" applyFont="1" applyFill="1" applyBorder="1" applyProtection="1">
      <protection hidden="1"/>
    </xf>
    <xf numFmtId="0" fontId="1" fillId="2" borderId="26" xfId="0" quotePrefix="1" applyFont="1" applyFill="1" applyBorder="1" applyProtection="1">
      <protection hidden="1"/>
    </xf>
    <xf numFmtId="0" fontId="38" fillId="2" borderId="0" xfId="0" applyFont="1" applyFill="1"/>
    <xf numFmtId="0" fontId="0" fillId="21" borderId="29" xfId="0" applyFill="1" applyBorder="1" applyProtection="1">
      <protection hidden="1"/>
    </xf>
    <xf numFmtId="0" fontId="0" fillId="21" borderId="31" xfId="0" applyFill="1" applyBorder="1" applyProtection="1">
      <protection hidden="1"/>
    </xf>
    <xf numFmtId="0" fontId="0" fillId="21" borderId="33" xfId="0" applyFill="1" applyBorder="1" applyProtection="1">
      <protection hidden="1"/>
    </xf>
    <xf numFmtId="166" fontId="0" fillId="21" borderId="3" xfId="0" applyNumberFormat="1" applyFill="1" applyBorder="1" applyProtection="1">
      <protection hidden="1"/>
    </xf>
    <xf numFmtId="165" fontId="0" fillId="21" borderId="3" xfId="0" applyNumberFormat="1" applyFill="1" applyBorder="1" applyProtection="1">
      <protection hidden="1"/>
    </xf>
    <xf numFmtId="0" fontId="2" fillId="21" borderId="3" xfId="0" applyFont="1" applyFill="1" applyBorder="1" applyProtection="1">
      <protection hidden="1"/>
    </xf>
    <xf numFmtId="0" fontId="9" fillId="21" borderId="27" xfId="0" applyFont="1" applyFill="1" applyBorder="1" applyAlignment="1" applyProtection="1">
      <alignment vertical="center"/>
      <protection hidden="1"/>
    </xf>
    <xf numFmtId="0" fontId="0" fillId="21" borderId="28" xfId="0" applyFill="1" applyBorder="1" applyAlignment="1" applyProtection="1">
      <alignment vertical="center"/>
      <protection hidden="1"/>
    </xf>
    <xf numFmtId="0" fontId="1" fillId="21" borderId="30" xfId="0" applyFont="1" applyFill="1" applyBorder="1" applyProtection="1">
      <protection hidden="1"/>
    </xf>
    <xf numFmtId="0" fontId="13" fillId="21" borderId="0" xfId="0" applyFont="1" applyFill="1" applyProtection="1">
      <protection hidden="1"/>
    </xf>
    <xf numFmtId="0" fontId="0" fillId="21" borderId="30" xfId="0" applyFill="1" applyBorder="1" applyProtection="1">
      <protection hidden="1"/>
    </xf>
    <xf numFmtId="0" fontId="0" fillId="21" borderId="0" xfId="0" applyFill="1" applyProtection="1">
      <protection hidden="1"/>
    </xf>
    <xf numFmtId="0" fontId="1" fillId="21" borderId="26" xfId="0" applyFont="1" applyFill="1" applyBorder="1" applyProtection="1">
      <protection hidden="1"/>
    </xf>
    <xf numFmtId="0" fontId="1" fillId="21" borderId="32" xfId="0" applyFont="1" applyFill="1" applyBorder="1" applyProtection="1">
      <protection hidden="1"/>
    </xf>
    <xf numFmtId="0" fontId="16" fillId="21" borderId="27" xfId="0" applyFont="1" applyFill="1" applyBorder="1" applyProtection="1">
      <protection hidden="1"/>
    </xf>
    <xf numFmtId="0" fontId="0" fillId="2" borderId="31" xfId="0" applyFill="1" applyBorder="1" applyAlignment="1" applyProtection="1">
      <alignment vertical="top" wrapText="1"/>
      <protection hidden="1"/>
    </xf>
    <xf numFmtId="2" fontId="0" fillId="2" borderId="31" xfId="0" applyNumberFormat="1" applyFill="1" applyBorder="1" applyAlignment="1" applyProtection="1">
      <alignment vertical="top" wrapText="1"/>
      <protection hidden="1"/>
    </xf>
    <xf numFmtId="0" fontId="0" fillId="2" borderId="33" xfId="0" applyFill="1" applyBorder="1" applyAlignment="1" applyProtection="1">
      <alignment vertical="top" wrapText="1"/>
      <protection hidden="1"/>
    </xf>
    <xf numFmtId="0" fontId="0" fillId="21" borderId="28" xfId="0" applyFill="1" applyBorder="1" applyProtection="1">
      <protection hidden="1"/>
    </xf>
    <xf numFmtId="0" fontId="0" fillId="21" borderId="29" xfId="0" applyFill="1" applyBorder="1" applyAlignment="1" applyProtection="1">
      <alignment vertical="top" wrapText="1"/>
      <protection hidden="1"/>
    </xf>
    <xf numFmtId="0" fontId="0" fillId="21" borderId="29" xfId="0" applyFill="1" applyBorder="1" applyAlignment="1" applyProtection="1">
      <alignment horizontal="left" vertical="top"/>
      <protection hidden="1"/>
    </xf>
    <xf numFmtId="0" fontId="0" fillId="21" borderId="31" xfId="0" applyFill="1" applyBorder="1" applyAlignment="1" applyProtection="1">
      <alignment horizontal="left" vertical="top"/>
      <protection hidden="1"/>
    </xf>
    <xf numFmtId="0" fontId="0" fillId="21" borderId="31" xfId="0" applyFill="1" applyBorder="1" applyAlignment="1" applyProtection="1">
      <alignment vertical="top" wrapText="1"/>
      <protection hidden="1"/>
    </xf>
    <xf numFmtId="0" fontId="0" fillId="21" borderId="29" xfId="0" applyFill="1" applyBorder="1" applyAlignment="1" applyProtection="1">
      <alignment vertical="center"/>
      <protection hidden="1"/>
    </xf>
    <xf numFmtId="0" fontId="13" fillId="21" borderId="31" xfId="0" applyFont="1" applyFill="1" applyBorder="1" applyProtection="1">
      <protection hidden="1"/>
    </xf>
    <xf numFmtId="0" fontId="1" fillId="21" borderId="33" xfId="0" applyFont="1" applyFill="1" applyBorder="1" applyProtection="1">
      <protection hidden="1"/>
    </xf>
    <xf numFmtId="0" fontId="1" fillId="2" borderId="30" xfId="0" quotePrefix="1" applyFont="1" applyFill="1" applyBorder="1" applyAlignment="1" applyProtection="1">
      <alignment vertical="top"/>
      <protection hidden="1"/>
    </xf>
    <xf numFmtId="0" fontId="0" fillId="2" borderId="31" xfId="0" applyFill="1" applyBorder="1" applyAlignment="1" applyProtection="1">
      <alignment vertical="top"/>
      <protection hidden="1"/>
    </xf>
    <xf numFmtId="0" fontId="9" fillId="2" borderId="30" xfId="0" applyFont="1" applyFill="1" applyBorder="1" applyAlignment="1" applyProtection="1">
      <alignment vertical="top"/>
      <protection hidden="1"/>
    </xf>
    <xf numFmtId="0" fontId="20" fillId="2" borderId="0" xfId="7" applyFont="1" applyFill="1" applyAlignment="1">
      <alignment horizontal="left"/>
    </xf>
    <xf numFmtId="0" fontId="22" fillId="2" borderId="0" xfId="7" applyFont="1" applyFill="1"/>
    <xf numFmtId="0" fontId="2" fillId="2" borderId="0" xfId="7" applyFont="1" applyFill="1"/>
    <xf numFmtId="0" fontId="3" fillId="2" borderId="0" xfId="7" applyFont="1" applyFill="1"/>
    <xf numFmtId="0" fontId="1" fillId="2" borderId="0" xfId="7" applyFill="1"/>
    <xf numFmtId="0" fontId="20" fillId="2" borderId="0" xfId="7" applyFont="1" applyFill="1" applyAlignment="1">
      <alignment horizontal="center"/>
    </xf>
    <xf numFmtId="0" fontId="28" fillId="11" borderId="0" xfId="7" applyFont="1" applyFill="1" applyAlignment="1">
      <alignment vertical="top"/>
    </xf>
    <xf numFmtId="0" fontId="4" fillId="11" borderId="0" xfId="7" applyFont="1" applyFill="1" applyAlignment="1">
      <alignment vertical="top"/>
    </xf>
    <xf numFmtId="0" fontId="19" fillId="11" borderId="0" xfId="7" applyFont="1" applyFill="1" applyAlignment="1">
      <alignment vertical="top"/>
    </xf>
    <xf numFmtId="0" fontId="1" fillId="2" borderId="0" xfId="7" applyFill="1" applyAlignment="1">
      <alignment vertical="top"/>
    </xf>
    <xf numFmtId="0" fontId="19" fillId="2" borderId="0" xfId="7" applyFont="1" applyFill="1"/>
    <xf numFmtId="0" fontId="62" fillId="2" borderId="0" xfId="7" applyFont="1" applyFill="1" applyAlignment="1">
      <alignment vertical="top"/>
    </xf>
    <xf numFmtId="0" fontId="21" fillId="2" borderId="0" xfId="7" applyFont="1" applyFill="1"/>
    <xf numFmtId="0" fontId="4" fillId="11" borderId="0" xfId="7" applyFont="1" applyFill="1" applyAlignment="1">
      <alignment vertical="center"/>
    </xf>
    <xf numFmtId="0" fontId="19" fillId="11" borderId="0" xfId="7" applyFont="1" applyFill="1" applyAlignment="1">
      <alignment vertical="center"/>
    </xf>
    <xf numFmtId="0" fontId="1" fillId="2" borderId="0" xfId="7" applyFill="1" applyAlignment="1">
      <alignment vertical="center"/>
    </xf>
    <xf numFmtId="0" fontId="29" fillId="2" borderId="0" xfId="7" applyFont="1" applyFill="1" applyAlignment="1">
      <alignment vertical="center"/>
    </xf>
    <xf numFmtId="0" fontId="30" fillId="2" borderId="0" xfId="7" applyFont="1" applyFill="1" applyAlignment="1">
      <alignment vertical="top"/>
    </xf>
    <xf numFmtId="0" fontId="28" fillId="11" borderId="0" xfId="7" applyFont="1" applyFill="1" applyAlignment="1">
      <alignment vertical="center"/>
    </xf>
    <xf numFmtId="0" fontId="15" fillId="2" borderId="0" xfId="7" applyFont="1" applyFill="1"/>
    <xf numFmtId="0" fontId="55" fillId="11" borderId="0" xfId="7" applyFont="1" applyFill="1"/>
    <xf numFmtId="0" fontId="1" fillId="11" borderId="0" xfId="7" applyFill="1"/>
    <xf numFmtId="0" fontId="60" fillId="2" borderId="0" xfId="7" applyFont="1" applyFill="1" applyAlignment="1">
      <alignment horizontal="center"/>
    </xf>
    <xf numFmtId="0" fontId="57" fillId="2" borderId="0" xfId="7" applyFont="1" applyFill="1"/>
    <xf numFmtId="0" fontId="70" fillId="2" borderId="0" xfId="7" applyFont="1" applyFill="1"/>
    <xf numFmtId="0" fontId="58" fillId="2" borderId="0" xfId="7" applyFont="1" applyFill="1"/>
    <xf numFmtId="0" fontId="65" fillId="11" borderId="0" xfId="7" applyFont="1" applyFill="1" applyAlignment="1">
      <alignment vertical="top"/>
    </xf>
    <xf numFmtId="0" fontId="65" fillId="11" borderId="0" xfId="7" applyFont="1" applyFill="1" applyAlignment="1">
      <alignment vertical="top" wrapText="1"/>
    </xf>
    <xf numFmtId="0" fontId="65" fillId="2" borderId="0" xfId="7" applyFont="1" applyFill="1" applyAlignment="1">
      <alignment vertical="top" wrapText="1"/>
    </xf>
    <xf numFmtId="0" fontId="46" fillId="2" borderId="0" xfId="7" applyFont="1" applyFill="1"/>
    <xf numFmtId="0" fontId="28" fillId="2" borderId="0" xfId="7" applyFont="1" applyFill="1" applyAlignment="1">
      <alignment vertical="top"/>
    </xf>
    <xf numFmtId="0" fontId="28" fillId="2" borderId="0" xfId="7" applyFont="1" applyFill="1" applyAlignment="1">
      <alignment vertical="top" wrapText="1"/>
    </xf>
    <xf numFmtId="0" fontId="22" fillId="2" borderId="0" xfId="7" applyFont="1" applyFill="1" applyAlignment="1">
      <alignment vertical="top" wrapText="1"/>
    </xf>
    <xf numFmtId="0" fontId="68" fillId="2" borderId="0" xfId="7" applyFont="1" applyFill="1" applyAlignment="1">
      <alignment vertical="top"/>
    </xf>
    <xf numFmtId="0" fontId="68" fillId="2" borderId="0" xfId="7" applyFont="1" applyFill="1" applyAlignment="1">
      <alignment vertical="top" wrapText="1"/>
    </xf>
    <xf numFmtId="0" fontId="29" fillId="2" borderId="30" xfId="7" applyFont="1" applyFill="1" applyBorder="1"/>
    <xf numFmtId="0" fontId="66" fillId="2" borderId="0" xfId="7" applyFont="1" applyFill="1" applyAlignment="1">
      <alignment horizontal="left" vertical="top"/>
    </xf>
    <xf numFmtId="0" fontId="29" fillId="2" borderId="0" xfId="7" applyFont="1" applyFill="1"/>
    <xf numFmtId="0" fontId="29" fillId="2" borderId="0" xfId="7" applyFont="1" applyFill="1" applyAlignment="1">
      <alignment horizontal="left" vertical="top"/>
    </xf>
    <xf numFmtId="0" fontId="29" fillId="2" borderId="31" xfId="7" applyFont="1" applyFill="1" applyBorder="1" applyAlignment="1">
      <alignment horizontal="left" vertical="top"/>
    </xf>
    <xf numFmtId="0" fontId="29" fillId="2" borderId="26" xfId="7" applyFont="1" applyFill="1" applyBorder="1"/>
    <xf numFmtId="0" fontId="66" fillId="2" borderId="32" xfId="7" applyFont="1" applyFill="1" applyBorder="1" applyAlignment="1">
      <alignment horizontal="left" vertical="top"/>
    </xf>
    <xf numFmtId="0" fontId="29" fillId="2" borderId="32" xfId="7" applyFont="1" applyFill="1" applyBorder="1"/>
    <xf numFmtId="0" fontId="29" fillId="2" borderId="32" xfId="7" applyFont="1" applyFill="1" applyBorder="1" applyAlignment="1">
      <alignment horizontal="left" vertical="top"/>
    </xf>
    <xf numFmtId="0" fontId="29" fillId="2" borderId="33" xfId="7" applyFont="1" applyFill="1" applyBorder="1" applyAlignment="1">
      <alignment horizontal="left" vertical="top"/>
    </xf>
    <xf numFmtId="0" fontId="34" fillId="2" borderId="0" xfId="7" applyFont="1" applyFill="1"/>
    <xf numFmtId="0" fontId="34" fillId="2" borderId="0" xfId="7" applyFont="1" applyFill="1" applyAlignment="1">
      <alignment horizontal="right"/>
    </xf>
    <xf numFmtId="0" fontId="34" fillId="2" borderId="0" xfId="7" applyFont="1" applyFill="1" applyAlignment="1">
      <alignment horizontal="center"/>
    </xf>
    <xf numFmtId="0" fontId="4" fillId="2" borderId="0" xfId="7" applyFont="1" applyFill="1"/>
    <xf numFmtId="0" fontId="19" fillId="0" borderId="0" xfId="7" applyFont="1"/>
    <xf numFmtId="0" fontId="33" fillId="2" borderId="0" xfId="7" applyFont="1" applyFill="1"/>
    <xf numFmtId="3" fontId="4" fillId="2" borderId="0" xfId="7" applyNumberFormat="1" applyFont="1" applyFill="1" applyAlignment="1">
      <alignment horizontal="left"/>
    </xf>
    <xf numFmtId="0" fontId="29" fillId="2" borderId="0" xfId="7" applyFont="1" applyFill="1" applyAlignment="1">
      <alignment horizontal="right"/>
    </xf>
    <xf numFmtId="168" fontId="4" fillId="10" borderId="24" xfId="0" applyNumberFormat="1" applyFont="1" applyFill="1" applyBorder="1" applyAlignment="1" applyProtection="1">
      <alignment horizontal="right" vertical="center"/>
      <protection hidden="1"/>
    </xf>
    <xf numFmtId="49" fontId="0" fillId="2" borderId="0" xfId="0" applyNumberFormat="1" applyFill="1" applyAlignment="1" applyProtection="1">
      <alignment wrapText="1"/>
      <protection hidden="1"/>
    </xf>
    <xf numFmtId="49" fontId="0" fillId="2" borderId="31" xfId="0" applyNumberFormat="1" applyFill="1" applyBorder="1" applyAlignment="1" applyProtection="1">
      <alignment wrapText="1"/>
      <protection hidden="1"/>
    </xf>
    <xf numFmtId="0" fontId="4" fillId="22" borderId="0" xfId="0" applyFont="1" applyFill="1" applyProtection="1">
      <protection hidden="1"/>
    </xf>
    <xf numFmtId="0" fontId="60" fillId="2" borderId="0" xfId="7" applyFont="1" applyFill="1"/>
    <xf numFmtId="0" fontId="71" fillId="2" borderId="0" xfId="7" applyFont="1" applyFill="1"/>
    <xf numFmtId="0" fontId="4" fillId="2" borderId="0" xfId="0" applyFont="1" applyFill="1" applyAlignment="1">
      <alignment horizontal="right"/>
    </xf>
    <xf numFmtId="0" fontId="3" fillId="2" borderId="0" xfId="0" applyFont="1" applyFill="1"/>
    <xf numFmtId="0" fontId="34" fillId="2" borderId="0" xfId="0" applyFont="1" applyFill="1" applyAlignment="1">
      <alignment horizontal="right"/>
    </xf>
    <xf numFmtId="0" fontId="34" fillId="2" borderId="0" xfId="0" applyFont="1" applyFill="1" applyAlignment="1">
      <alignment horizontal="center"/>
    </xf>
    <xf numFmtId="0" fontId="19" fillId="2" borderId="0" xfId="0" applyFont="1" applyFill="1" applyAlignment="1">
      <alignment horizontal="left" vertical="top"/>
    </xf>
    <xf numFmtId="0" fontId="34" fillId="2" borderId="0" xfId="0" applyFont="1" applyFill="1" applyAlignment="1">
      <alignment vertical="top"/>
    </xf>
    <xf numFmtId="0" fontId="65" fillId="11" borderId="0" xfId="7" applyFont="1" applyFill="1"/>
    <xf numFmtId="0" fontId="46" fillId="11" borderId="0" xfId="7" applyFont="1" applyFill="1"/>
    <xf numFmtId="0" fontId="65" fillId="2" borderId="0" xfId="7" applyFont="1" applyFill="1" applyAlignment="1">
      <alignment vertical="top"/>
    </xf>
    <xf numFmtId="0" fontId="2" fillId="2" borderId="0" xfId="0" applyFont="1" applyFill="1"/>
    <xf numFmtId="0" fontId="4" fillId="2" borderId="0" xfId="0" applyFont="1" applyFill="1"/>
    <xf numFmtId="0" fontId="19" fillId="2" borderId="0" xfId="0" applyFont="1" applyFill="1"/>
    <xf numFmtId="0" fontId="1" fillId="2" borderId="0" xfId="0" applyFont="1" applyFill="1"/>
    <xf numFmtId="0" fontId="33" fillId="2" borderId="0" xfId="0" applyFont="1" applyFill="1" applyAlignment="1">
      <alignment vertical="top" wrapText="1"/>
    </xf>
    <xf numFmtId="0" fontId="19" fillId="2" borderId="0" xfId="0" applyFont="1" applyFill="1" applyAlignment="1">
      <alignment vertical="top"/>
    </xf>
    <xf numFmtId="0" fontId="4" fillId="2" borderId="0" xfId="0" applyFont="1" applyFill="1" applyAlignment="1">
      <alignment vertical="top"/>
    </xf>
    <xf numFmtId="0" fontId="33" fillId="2" borderId="0" xfId="0" applyFont="1" applyFill="1" applyAlignment="1">
      <alignment vertical="top"/>
    </xf>
    <xf numFmtId="9" fontId="4" fillId="2" borderId="0" xfId="0" applyNumberFormat="1" applyFont="1" applyFill="1" applyAlignment="1">
      <alignment horizontal="center" vertical="top"/>
    </xf>
    <xf numFmtId="9" fontId="33" fillId="2" borderId="0" xfId="0" applyNumberFormat="1" applyFont="1" applyFill="1" applyAlignment="1">
      <alignment horizontal="center" vertical="top"/>
    </xf>
    <xf numFmtId="0" fontId="4" fillId="2" borderId="0" xfId="0" applyFont="1" applyFill="1" applyAlignment="1">
      <alignment vertical="top" wrapText="1"/>
    </xf>
    <xf numFmtId="0" fontId="4" fillId="2" borderId="0" xfId="0" applyFont="1" applyFill="1" applyAlignment="1">
      <alignment vertical="center" wrapText="1"/>
    </xf>
    <xf numFmtId="0" fontId="34" fillId="2" borderId="32" xfId="0" applyFont="1" applyFill="1" applyBorder="1"/>
    <xf numFmtId="0" fontId="34" fillId="2" borderId="1" xfId="0" applyFont="1" applyFill="1" applyBorder="1" applyAlignment="1">
      <alignment horizontal="center"/>
    </xf>
    <xf numFmtId="0" fontId="46" fillId="2" borderId="0" xfId="0" applyFont="1" applyFill="1"/>
    <xf numFmtId="0" fontId="29" fillId="2" borderId="34" xfId="0" applyFont="1" applyFill="1" applyBorder="1" applyAlignment="1">
      <alignment horizontal="right"/>
    </xf>
    <xf numFmtId="0" fontId="34" fillId="2" borderId="34" xfId="0" applyFont="1" applyFill="1" applyBorder="1" applyAlignment="1">
      <alignment horizontal="center"/>
    </xf>
    <xf numFmtId="0" fontId="61" fillId="2" borderId="0" xfId="7" applyFont="1" applyFill="1"/>
    <xf numFmtId="0" fontId="4" fillId="2" borderId="0" xfId="0" applyFont="1" applyFill="1" applyAlignment="1">
      <alignment wrapText="1"/>
    </xf>
    <xf numFmtId="0" fontId="33" fillId="2" borderId="0" xfId="0" applyFont="1" applyFill="1" applyAlignment="1">
      <alignment vertical="center" wrapText="1"/>
    </xf>
    <xf numFmtId="0" fontId="4" fillId="2" borderId="0" xfId="0" applyFont="1" applyFill="1" applyAlignment="1">
      <alignment vertical="center"/>
    </xf>
    <xf numFmtId="0" fontId="30" fillId="0" borderId="24" xfId="0" applyFont="1" applyBorder="1"/>
    <xf numFmtId="0" fontId="29" fillId="2" borderId="0" xfId="0" applyFont="1" applyFill="1" applyAlignment="1">
      <alignment horizontal="center"/>
    </xf>
    <xf numFmtId="0" fontId="30" fillId="2" borderId="3" xfId="0" applyFont="1" applyFill="1" applyBorder="1" applyAlignment="1">
      <alignment horizontal="center"/>
    </xf>
    <xf numFmtId="0" fontId="30" fillId="2" borderId="29" xfId="0" applyFont="1" applyFill="1" applyBorder="1" applyAlignment="1">
      <alignment horizontal="center"/>
    </xf>
    <xf numFmtId="0" fontId="30" fillId="2" borderId="31" xfId="0" applyFont="1" applyFill="1" applyBorder="1" applyAlignment="1">
      <alignment horizontal="center"/>
    </xf>
    <xf numFmtId="0" fontId="30" fillId="2" borderId="33" xfId="0" applyFont="1" applyFill="1" applyBorder="1" applyAlignment="1">
      <alignment horizontal="center"/>
    </xf>
    <xf numFmtId="0" fontId="30" fillId="0" borderId="0" xfId="0" applyFont="1" applyAlignment="1">
      <alignment horizontal="center"/>
    </xf>
    <xf numFmtId="0" fontId="1" fillId="2" borderId="30" xfId="0" applyFont="1" applyFill="1" applyBorder="1"/>
    <xf numFmtId="0" fontId="1" fillId="2" borderId="31" xfId="0" applyFont="1" applyFill="1" applyBorder="1" applyAlignment="1">
      <alignment horizontal="center"/>
    </xf>
    <xf numFmtId="0" fontId="1" fillId="2" borderId="0" xfId="0" applyFont="1" applyFill="1" applyAlignment="1" applyProtection="1">
      <alignment horizontal="center"/>
      <protection hidden="1"/>
    </xf>
    <xf numFmtId="0" fontId="0" fillId="2" borderId="3" xfId="0" applyFill="1" applyBorder="1" applyAlignment="1" applyProtection="1">
      <alignment horizontal="center" vertical="center"/>
      <protection hidden="1"/>
    </xf>
    <xf numFmtId="0" fontId="1" fillId="2" borderId="30" xfId="0" applyFont="1" applyFill="1" applyBorder="1" applyAlignment="1" applyProtection="1">
      <alignment vertical="top"/>
      <protection hidden="1"/>
    </xf>
    <xf numFmtId="0" fontId="1" fillId="16" borderId="3" xfId="0" applyFont="1" applyFill="1" applyBorder="1" applyProtection="1">
      <protection hidden="1"/>
    </xf>
    <xf numFmtId="0" fontId="1" fillId="0" borderId="3" xfId="0" applyFont="1" applyBorder="1" applyAlignment="1" applyProtection="1">
      <alignment horizontal="center"/>
      <protection hidden="1"/>
    </xf>
    <xf numFmtId="0" fontId="59" fillId="2" borderId="0" xfId="7" applyFont="1" applyFill="1"/>
    <xf numFmtId="0" fontId="75" fillId="2" borderId="0" xfId="7" applyFont="1" applyFill="1"/>
    <xf numFmtId="0" fontId="75" fillId="0" borderId="0" xfId="7" applyFont="1" applyAlignment="1">
      <alignment vertical="top"/>
    </xf>
    <xf numFmtId="0" fontId="75" fillId="0" borderId="0" xfId="7" applyFont="1" applyAlignment="1">
      <alignment vertical="center"/>
    </xf>
    <xf numFmtId="0" fontId="76" fillId="2" borderId="0" xfId="7" applyFont="1" applyFill="1"/>
    <xf numFmtId="0" fontId="74" fillId="2" borderId="0" xfId="7" applyFont="1" applyFill="1"/>
    <xf numFmtId="0" fontId="58" fillId="2" borderId="0" xfId="0" applyFont="1" applyFill="1"/>
    <xf numFmtId="0" fontId="77" fillId="2" borderId="0" xfId="7" applyFont="1" applyFill="1" applyAlignment="1">
      <alignment vertical="top" wrapText="1"/>
    </xf>
    <xf numFmtId="4" fontId="0" fillId="0" borderId="39" xfId="0" applyNumberFormat="1" applyBorder="1" applyProtection="1">
      <protection hidden="1"/>
    </xf>
    <xf numFmtId="4" fontId="0" fillId="0" borderId="40" xfId="0" applyNumberFormat="1" applyBorder="1" applyProtection="1">
      <protection hidden="1"/>
    </xf>
    <xf numFmtId="4" fontId="0" fillId="12" borderId="40" xfId="0" applyNumberFormat="1" applyFill="1" applyBorder="1" applyProtection="1">
      <protection hidden="1"/>
    </xf>
    <xf numFmtId="0" fontId="1" fillId="2" borderId="2" xfId="0" applyFont="1" applyFill="1" applyBorder="1" applyProtection="1">
      <protection hidden="1"/>
    </xf>
    <xf numFmtId="0" fontId="1" fillId="2" borderId="2" xfId="0" applyFont="1" applyFill="1" applyBorder="1" applyAlignment="1" applyProtection="1">
      <alignment horizontal="center"/>
      <protection hidden="1"/>
    </xf>
    <xf numFmtId="0" fontId="1" fillId="0" borderId="9" xfId="0" applyFont="1" applyBorder="1" applyAlignment="1" applyProtection="1">
      <alignment horizontal="center"/>
      <protection hidden="1"/>
    </xf>
    <xf numFmtId="0" fontId="1" fillId="0" borderId="41" xfId="0" applyFont="1" applyBorder="1" applyAlignment="1" applyProtection="1">
      <alignment horizontal="center"/>
      <protection hidden="1"/>
    </xf>
    <xf numFmtId="4" fontId="1" fillId="4" borderId="2" xfId="0" applyNumberFormat="1" applyFont="1" applyFill="1" applyBorder="1" applyProtection="1">
      <protection locked="0" hidden="1"/>
    </xf>
    <xf numFmtId="4" fontId="1" fillId="4" borderId="8" xfId="0" applyNumberFormat="1" applyFont="1" applyFill="1" applyBorder="1" applyProtection="1">
      <protection locked="0" hidden="1"/>
    </xf>
    <xf numFmtId="3" fontId="1" fillId="0" borderId="0" xfId="0" applyNumberFormat="1" applyFont="1" applyProtection="1">
      <protection hidden="1"/>
    </xf>
    <xf numFmtId="4" fontId="1" fillId="2" borderId="25" xfId="0" applyNumberFormat="1" applyFont="1" applyFill="1" applyBorder="1" applyAlignment="1" applyProtection="1">
      <alignment horizontal="center" vertical="center"/>
      <protection hidden="1"/>
    </xf>
    <xf numFmtId="4" fontId="1" fillId="2" borderId="0" xfId="0" applyNumberFormat="1" applyFont="1" applyFill="1" applyAlignment="1" applyProtection="1">
      <alignment horizontal="center" vertical="center"/>
      <protection hidden="1"/>
    </xf>
    <xf numFmtId="0" fontId="1" fillId="3" borderId="35" xfId="0" applyFont="1" applyFill="1" applyBorder="1" applyAlignment="1" applyProtection="1">
      <alignment horizontal="left"/>
      <protection hidden="1"/>
    </xf>
    <xf numFmtId="0" fontId="1" fillId="3" borderId="34" xfId="0" applyFont="1" applyFill="1" applyBorder="1" applyAlignment="1" applyProtection="1">
      <alignment horizontal="left"/>
      <protection hidden="1"/>
    </xf>
    <xf numFmtId="0" fontId="1" fillId="3" borderId="36" xfId="0" applyFont="1" applyFill="1" applyBorder="1" applyAlignment="1" applyProtection="1">
      <alignment horizontal="left"/>
      <protection hidden="1"/>
    </xf>
    <xf numFmtId="0" fontId="1" fillId="3" borderId="37" xfId="0" applyFont="1" applyFill="1" applyBorder="1" applyAlignment="1" applyProtection="1">
      <alignment horizontal="left"/>
      <protection hidden="1"/>
    </xf>
    <xf numFmtId="0" fontId="1" fillId="3" borderId="0" xfId="0" applyFont="1" applyFill="1" applyAlignment="1" applyProtection="1">
      <alignment horizontal="left"/>
      <protection hidden="1"/>
    </xf>
    <xf numFmtId="0" fontId="1" fillId="3" borderId="13" xfId="0" applyFont="1" applyFill="1" applyBorder="1" applyAlignment="1" applyProtection="1">
      <alignment horizontal="left"/>
      <protection hidden="1"/>
    </xf>
    <xf numFmtId="0" fontId="1" fillId="3" borderId="38" xfId="0" applyFont="1" applyFill="1" applyBorder="1" applyAlignment="1" applyProtection="1">
      <alignment horizontal="left"/>
      <protection hidden="1"/>
    </xf>
    <xf numFmtId="0" fontId="1" fillId="3" borderId="1" xfId="0" applyFont="1" applyFill="1" applyBorder="1" applyAlignment="1" applyProtection="1">
      <alignment horizontal="left"/>
      <protection hidden="1"/>
    </xf>
    <xf numFmtId="0" fontId="1" fillId="3" borderId="21" xfId="0" applyFont="1" applyFill="1" applyBorder="1" applyAlignment="1" applyProtection="1">
      <alignment horizontal="left"/>
      <protection hidden="1"/>
    </xf>
    <xf numFmtId="0" fontId="1" fillId="0" borderId="0" xfId="0" applyFont="1" applyProtection="1">
      <protection hidden="1"/>
    </xf>
    <xf numFmtId="0" fontId="1" fillId="2" borderId="0" xfId="0" applyFont="1" applyFill="1" applyAlignment="1" applyProtection="1">
      <alignment vertical="center" wrapText="1"/>
      <protection hidden="1"/>
    </xf>
    <xf numFmtId="0" fontId="1" fillId="10" borderId="1" xfId="0" applyFont="1" applyFill="1" applyBorder="1" applyAlignment="1" applyProtection="1">
      <alignment horizontal="center" vertical="center"/>
      <protection hidden="1"/>
    </xf>
    <xf numFmtId="0" fontId="1" fillId="10" borderId="8" xfId="0" applyFont="1" applyFill="1" applyBorder="1" applyAlignment="1" applyProtection="1">
      <alignment horizontal="center" vertical="center"/>
      <protection hidden="1"/>
    </xf>
    <xf numFmtId="0" fontId="74" fillId="0" borderId="0" xfId="0" applyFont="1"/>
    <xf numFmtId="9" fontId="79" fillId="0" borderId="0" xfId="0" applyNumberFormat="1" applyFont="1"/>
    <xf numFmtId="0" fontId="79" fillId="0" borderId="0" xfId="0" applyFont="1"/>
    <xf numFmtId="4" fontId="0" fillId="4" borderId="2" xfId="0" applyNumberFormat="1" applyFill="1" applyBorder="1" applyProtection="1">
      <protection hidden="1"/>
    </xf>
    <xf numFmtId="0" fontId="2" fillId="0" borderId="0" xfId="0" applyFont="1" applyAlignment="1" applyProtection="1">
      <protection hidden="1"/>
    </xf>
    <xf numFmtId="0" fontId="0" fillId="0" borderId="0" xfId="0" applyAlignment="1" applyProtection="1">
      <protection hidden="1"/>
    </xf>
    <xf numFmtId="0" fontId="0" fillId="0" borderId="3" xfId="0" applyBorder="1" applyAlignment="1" applyProtection="1">
      <alignment horizontal="center" vertical="center" wrapText="1"/>
      <protection hidden="1"/>
    </xf>
    <xf numFmtId="0" fontId="0" fillId="4" borderId="3" xfId="0" applyFill="1" applyBorder="1" applyAlignment="1" applyProtection="1">
      <alignment horizontal="center"/>
      <protection hidden="1"/>
    </xf>
    <xf numFmtId="0" fontId="0" fillId="2" borderId="0" xfId="0" applyFill="1" applyAlignment="1" applyProtection="1">
      <alignment horizontal="left" vertical="top" wrapText="1"/>
      <protection hidden="1"/>
    </xf>
    <xf numFmtId="0" fontId="0" fillId="2" borderId="0" xfId="0" applyFill="1" applyAlignment="1" applyProtection="1">
      <protection hidden="1"/>
    </xf>
    <xf numFmtId="0" fontId="3" fillId="2" borderId="0" xfId="0" applyFont="1" applyFill="1" applyAlignment="1" applyProtection="1">
      <alignment horizontal="center" vertical="center"/>
      <protection hidden="1"/>
    </xf>
    <xf numFmtId="0" fontId="4" fillId="2" borderId="0" xfId="0" applyFont="1" applyFill="1" applyAlignment="1" applyProtection="1">
      <alignment horizontal="center" vertical="center" wrapText="1"/>
      <protection hidden="1"/>
    </xf>
    <xf numFmtId="0" fontId="2" fillId="2" borderId="0" xfId="0" applyFont="1" applyFill="1" applyAlignment="1" applyProtection="1">
      <alignment horizontal="center" vertical="center" wrapText="1"/>
      <protection hidden="1"/>
    </xf>
    <xf numFmtId="0" fontId="4" fillId="2" borderId="0" xfId="0" applyFont="1" applyFill="1" applyAlignment="1" applyProtection="1">
      <alignment horizontal="center"/>
      <protection hidden="1"/>
    </xf>
    <xf numFmtId="0" fontId="25" fillId="2" borderId="0" xfId="0" applyFont="1" applyFill="1" applyAlignment="1" applyProtection="1">
      <alignment horizontal="center"/>
      <protection hidden="1"/>
    </xf>
    <xf numFmtId="0" fontId="25" fillId="0" borderId="0" xfId="0" applyFont="1" applyAlignment="1" applyProtection="1">
      <protection hidden="1"/>
    </xf>
    <xf numFmtId="0" fontId="28" fillId="11" borderId="0" xfId="7" applyFont="1" applyFill="1" applyAlignment="1">
      <alignment vertical="center"/>
    </xf>
    <xf numFmtId="0" fontId="1" fillId="0" borderId="0" xfId="7" applyAlignment="1">
      <alignment vertical="center"/>
    </xf>
    <xf numFmtId="0" fontId="29" fillId="17" borderId="1" xfId="7" applyFont="1" applyFill="1" applyBorder="1" applyAlignment="1" applyProtection="1">
      <alignment horizontal="left" vertical="center"/>
      <protection locked="0"/>
    </xf>
    <xf numFmtId="0" fontId="1" fillId="0" borderId="1" xfId="7" applyBorder="1" applyAlignment="1">
      <alignment horizontal="left" vertical="center"/>
    </xf>
    <xf numFmtId="0" fontId="20" fillId="2" borderId="0" xfId="7" applyFont="1" applyFill="1" applyAlignment="1">
      <alignment horizontal="left"/>
    </xf>
    <xf numFmtId="0" fontId="1" fillId="17" borderId="1" xfId="7" applyFill="1" applyBorder="1" applyAlignment="1" applyProtection="1">
      <alignment horizontal="left" vertical="top"/>
      <protection locked="0"/>
    </xf>
    <xf numFmtId="0" fontId="19" fillId="17" borderId="1" xfId="7" applyFont="1" applyFill="1" applyBorder="1" applyAlignment="1" applyProtection="1">
      <alignment horizontal="left" vertical="center"/>
      <protection locked="0"/>
    </xf>
    <xf numFmtId="0" fontId="46" fillId="20" borderId="0" xfId="7" applyFont="1" applyFill="1" applyAlignment="1">
      <alignment horizontal="center" vertical="center"/>
    </xf>
    <xf numFmtId="0" fontId="1" fillId="17" borderId="1" xfId="7" applyFill="1" applyBorder="1" applyAlignment="1" applyProtection="1">
      <alignment horizontal="left"/>
      <protection locked="0"/>
    </xf>
    <xf numFmtId="0" fontId="1" fillId="0" borderId="0" xfId="7" applyAlignment="1"/>
    <xf numFmtId="0" fontId="1" fillId="17" borderId="23" xfId="7" applyFill="1" applyBorder="1" applyAlignment="1" applyProtection="1">
      <alignment horizontal="left"/>
      <protection locked="0"/>
    </xf>
    <xf numFmtId="0" fontId="66" fillId="2" borderId="0" xfId="7" applyFont="1" applyFill="1" applyAlignment="1">
      <alignment horizontal="left" vertical="center" wrapText="1"/>
    </xf>
    <xf numFmtId="0" fontId="67" fillId="2" borderId="0" xfId="7" applyFont="1" applyFill="1" applyAlignment="1">
      <alignment horizontal="left" vertical="center" wrapText="1"/>
    </xf>
    <xf numFmtId="0" fontId="66" fillId="0" borderId="0" xfId="7" applyFont="1" applyAlignment="1">
      <alignment wrapText="1"/>
    </xf>
    <xf numFmtId="0" fontId="47" fillId="17" borderId="11" xfId="7" applyFont="1" applyFill="1" applyBorder="1" applyAlignment="1" applyProtection="1">
      <alignment horizontal="center" vertical="top" wrapText="1"/>
      <protection locked="0"/>
    </xf>
    <xf numFmtId="0" fontId="1" fillId="0" borderId="51" xfId="7" applyBorder="1" applyAlignment="1">
      <alignment horizontal="center" vertical="top" wrapText="1"/>
    </xf>
    <xf numFmtId="0" fontId="1" fillId="0" borderId="45" xfId="7" applyBorder="1" applyAlignment="1">
      <alignment horizontal="center" vertical="top" wrapText="1"/>
    </xf>
    <xf numFmtId="0" fontId="69" fillId="2" borderId="27" xfId="7" applyFont="1" applyFill="1" applyBorder="1" applyAlignment="1">
      <alignment horizontal="left" vertical="center" wrapText="1"/>
    </xf>
    <xf numFmtId="0" fontId="1" fillId="0" borderId="28" xfId="7" applyBorder="1" applyAlignment="1">
      <alignment wrapText="1"/>
    </xf>
    <xf numFmtId="0" fontId="1" fillId="0" borderId="29" xfId="7" applyBorder="1" applyAlignment="1">
      <alignment wrapText="1"/>
    </xf>
    <xf numFmtId="0" fontId="19" fillId="2" borderId="0" xfId="7" applyFont="1" applyFill="1" applyAlignment="1"/>
    <xf numFmtId="0" fontId="19" fillId="0" borderId="0" xfId="7" applyFont="1" applyAlignment="1"/>
    <xf numFmtId="0" fontId="28" fillId="2" borderId="11" xfId="7" applyFont="1" applyFill="1" applyBorder="1" applyAlignment="1">
      <alignment horizontal="left" vertical="center"/>
    </xf>
    <xf numFmtId="0" fontId="28" fillId="2" borderId="51" xfId="7" applyFont="1" applyFill="1" applyBorder="1" applyAlignment="1">
      <alignment horizontal="left" vertical="center"/>
    </xf>
    <xf numFmtId="0" fontId="28" fillId="2" borderId="45" xfId="7" applyFont="1" applyFill="1" applyBorder="1" applyAlignment="1">
      <alignment horizontal="left" vertical="center"/>
    </xf>
    <xf numFmtId="0" fontId="72" fillId="2" borderId="11" xfId="7" applyFont="1" applyFill="1" applyBorder="1" applyAlignment="1">
      <alignment horizontal="left" vertical="center" wrapText="1"/>
    </xf>
    <xf numFmtId="0" fontId="59" fillId="0" borderId="51" xfId="7" applyFont="1" applyBorder="1" applyAlignment="1">
      <alignment wrapText="1"/>
    </xf>
    <xf numFmtId="0" fontId="59" fillId="0" borderId="45" xfId="7" applyFont="1" applyBorder="1" applyAlignment="1">
      <alignment wrapText="1"/>
    </xf>
    <xf numFmtId="0" fontId="2" fillId="0" borderId="51" xfId="7" applyFont="1" applyBorder="1" applyAlignment="1">
      <alignment horizontal="center" vertical="top" wrapText="1"/>
    </xf>
    <xf numFmtId="0" fontId="2" fillId="0" borderId="45" xfId="7" applyFont="1" applyBorder="1" applyAlignment="1">
      <alignment horizontal="center" vertical="top" wrapText="1"/>
    </xf>
    <xf numFmtId="0" fontId="73" fillId="2" borderId="11" xfId="7" applyFont="1" applyFill="1" applyBorder="1" applyAlignment="1">
      <alignment horizontal="left" vertical="center"/>
    </xf>
    <xf numFmtId="0" fontId="59" fillId="0" borderId="51" xfId="7" applyFont="1" applyBorder="1" applyAlignment="1"/>
    <xf numFmtId="0" fontId="59" fillId="0" borderId="45" xfId="7" applyFont="1" applyBorder="1" applyAlignment="1"/>
    <xf numFmtId="0" fontId="47" fillId="17" borderId="11" xfId="7" applyFont="1" applyFill="1" applyBorder="1" applyAlignment="1" applyProtection="1">
      <alignment horizontal="center" vertical="center" wrapText="1"/>
      <protection locked="0"/>
    </xf>
    <xf numFmtId="0" fontId="2" fillId="0" borderId="51" xfId="7" applyFont="1" applyBorder="1" applyAlignment="1">
      <alignment horizontal="center" vertical="center" wrapText="1"/>
    </xf>
    <xf numFmtId="0" fontId="2" fillId="0" borderId="45" xfId="7" applyFont="1" applyBorder="1" applyAlignment="1">
      <alignment horizontal="center" vertical="center" wrapText="1"/>
    </xf>
    <xf numFmtId="14" fontId="29" fillId="2" borderId="58" xfId="0" applyNumberFormat="1" applyFont="1" applyFill="1" applyBorder="1" applyAlignment="1" applyProtection="1">
      <alignment horizontal="right" vertical="center"/>
      <protection locked="0"/>
    </xf>
    <xf numFmtId="0" fontId="23" fillId="19" borderId="27" xfId="0" applyFont="1" applyFill="1" applyBorder="1" applyAlignment="1">
      <alignment horizontal="left" vertical="center" wrapText="1"/>
    </xf>
    <xf numFmtId="0" fontId="23" fillId="19" borderId="28" xfId="0" applyFont="1" applyFill="1" applyBorder="1" applyAlignment="1">
      <alignment horizontal="left" vertical="center" wrapText="1"/>
    </xf>
    <xf numFmtId="0" fontId="23" fillId="19" borderId="29" xfId="0" applyFont="1" applyFill="1" applyBorder="1" applyAlignment="1">
      <alignment horizontal="left" vertical="center" wrapText="1"/>
    </xf>
    <xf numFmtId="0" fontId="23" fillId="19" borderId="30" xfId="0" applyFont="1" applyFill="1" applyBorder="1" applyAlignment="1">
      <alignment horizontal="left" vertical="center" wrapText="1"/>
    </xf>
    <xf numFmtId="0" fontId="23" fillId="19" borderId="0" xfId="0" applyFont="1" applyFill="1" applyAlignment="1">
      <alignment horizontal="left" vertical="center" wrapText="1"/>
    </xf>
    <xf numFmtId="0" fontId="23" fillId="19" borderId="31" xfId="0" applyFont="1" applyFill="1" applyBorder="1" applyAlignment="1">
      <alignment horizontal="left" vertical="center" wrapText="1"/>
    </xf>
    <xf numFmtId="0" fontId="23" fillId="19" borderId="26" xfId="0" applyFont="1" applyFill="1" applyBorder="1" applyAlignment="1">
      <alignment horizontal="left" vertical="center" wrapText="1"/>
    </xf>
    <xf numFmtId="0" fontId="23" fillId="19" borderId="32" xfId="0" applyFont="1" applyFill="1" applyBorder="1" applyAlignment="1">
      <alignment horizontal="left" vertical="center" wrapText="1"/>
    </xf>
    <xf numFmtId="0" fontId="23" fillId="19" borderId="33" xfId="0" applyFont="1" applyFill="1" applyBorder="1" applyAlignment="1">
      <alignment horizontal="left" vertical="center" wrapText="1"/>
    </xf>
    <xf numFmtId="0" fontId="2" fillId="19" borderId="27" xfId="0" applyFont="1" applyFill="1" applyBorder="1" applyAlignment="1">
      <alignment horizontal="left" vertical="center" wrapText="1"/>
    </xf>
    <xf numFmtId="0" fontId="2" fillId="19" borderId="28" xfId="0" applyFont="1" applyFill="1" applyBorder="1" applyAlignment="1">
      <alignment horizontal="left" vertical="center" wrapText="1"/>
    </xf>
    <xf numFmtId="0" fontId="2" fillId="19" borderId="29" xfId="0" applyFont="1" applyFill="1" applyBorder="1" applyAlignment="1">
      <alignment horizontal="left" vertical="center" wrapText="1"/>
    </xf>
    <xf numFmtId="0" fontId="2" fillId="19" borderId="30" xfId="0" applyFont="1" applyFill="1" applyBorder="1" applyAlignment="1">
      <alignment horizontal="left" vertical="center" wrapText="1"/>
    </xf>
    <xf numFmtId="0" fontId="2" fillId="19" borderId="0" xfId="0" applyFont="1" applyFill="1" applyAlignment="1">
      <alignment horizontal="left" vertical="center" wrapText="1"/>
    </xf>
    <xf numFmtId="0" fontId="2" fillId="19" borderId="31" xfId="0" applyFont="1" applyFill="1" applyBorder="1" applyAlignment="1">
      <alignment horizontal="left" vertical="center" wrapText="1"/>
    </xf>
    <xf numFmtId="0" fontId="2" fillId="19" borderId="26" xfId="0" applyFont="1" applyFill="1" applyBorder="1" applyAlignment="1">
      <alignment horizontal="left" vertical="center" wrapText="1"/>
    </xf>
    <xf numFmtId="0" fontId="2" fillId="19" borderId="32" xfId="0" applyFont="1" applyFill="1" applyBorder="1" applyAlignment="1">
      <alignment horizontal="left" vertical="center" wrapText="1"/>
    </xf>
    <xf numFmtId="0" fontId="2" fillId="19" borderId="33" xfId="0" applyFont="1" applyFill="1" applyBorder="1" applyAlignment="1">
      <alignment horizontal="left" vertical="center" wrapText="1"/>
    </xf>
    <xf numFmtId="0" fontId="30" fillId="2" borderId="32" xfId="0" applyFont="1" applyFill="1" applyBorder="1" applyAlignment="1" applyProtection="1">
      <alignment horizontal="left"/>
      <protection locked="0"/>
    </xf>
    <xf numFmtId="0" fontId="30" fillId="2" borderId="51" xfId="0" applyFont="1" applyFill="1" applyBorder="1" applyAlignment="1" applyProtection="1">
      <alignment horizontal="left"/>
      <protection locked="0"/>
    </xf>
    <xf numFmtId="0" fontId="23" fillId="2" borderId="0" xfId="0" applyFont="1" applyFill="1" applyAlignment="1">
      <alignment wrapText="1"/>
    </xf>
    <xf numFmtId="0" fontId="0" fillId="0" borderId="31" xfId="0" applyBorder="1" applyAlignment="1"/>
    <xf numFmtId="0" fontId="1" fillId="0" borderId="4" xfId="0" applyFont="1" applyBorder="1" applyAlignment="1">
      <alignment horizontal="center" wrapText="1"/>
    </xf>
    <xf numFmtId="0" fontId="0" fillId="0" borderId="25" xfId="0" applyBorder="1" applyAlignment="1">
      <alignment horizontal="center" wrapText="1"/>
    </xf>
    <xf numFmtId="0" fontId="0" fillId="2" borderId="32" xfId="0" applyFill="1" applyBorder="1" applyAlignment="1" applyProtection="1">
      <alignment horizontal="center"/>
      <protection hidden="1"/>
    </xf>
    <xf numFmtId="0" fontId="0" fillId="0" borderId="32" xfId="0" applyBorder="1" applyAlignment="1">
      <alignment horizontal="center"/>
    </xf>
    <xf numFmtId="0" fontId="5" fillId="0" borderId="38" xfId="0" applyFont="1" applyBorder="1" applyAlignment="1" applyProtection="1">
      <alignment horizontal="left"/>
      <protection locked="0" hidden="1"/>
    </xf>
    <xf numFmtId="0" fontId="2" fillId="0" borderId="1" xfId="0" applyFont="1" applyBorder="1" applyAlignment="1" applyProtection="1">
      <alignment horizontal="left"/>
      <protection locked="0" hidden="1"/>
    </xf>
    <xf numFmtId="0" fontId="23" fillId="5" borderId="24" xfId="0" applyFont="1" applyFill="1" applyBorder="1" applyAlignment="1" applyProtection="1">
      <alignment horizontal="center"/>
      <protection hidden="1"/>
    </xf>
    <xf numFmtId="0" fontId="23" fillId="5" borderId="8" xfId="0" applyFont="1" applyFill="1" applyBorder="1" applyAlignment="1" applyProtection="1">
      <alignment horizontal="center"/>
      <protection hidden="1"/>
    </xf>
    <xf numFmtId="0" fontId="23" fillId="5" borderId="23" xfId="0" applyFont="1" applyFill="1" applyBorder="1" applyAlignment="1" applyProtection="1">
      <alignment horizontal="center"/>
      <protection hidden="1"/>
    </xf>
    <xf numFmtId="0" fontId="19" fillId="5" borderId="47" xfId="0" applyFont="1" applyFill="1" applyBorder="1" applyAlignment="1" applyProtection="1">
      <alignment horizontal="center" vertical="center"/>
      <protection hidden="1"/>
    </xf>
    <xf numFmtId="0" fontId="19" fillId="5" borderId="43" xfId="0" applyFont="1" applyFill="1" applyBorder="1" applyAlignment="1" applyProtection="1">
      <alignment horizontal="center" vertical="center"/>
      <protection hidden="1"/>
    </xf>
    <xf numFmtId="0" fontId="19" fillId="5" borderId="52" xfId="0" applyFont="1" applyFill="1" applyBorder="1" applyAlignment="1" applyProtection="1">
      <alignment horizontal="center" vertical="center"/>
      <protection hidden="1"/>
    </xf>
    <xf numFmtId="0" fontId="19" fillId="5" borderId="47" xfId="0" applyFont="1" applyFill="1" applyBorder="1" applyAlignment="1" applyProtection="1">
      <alignment horizontal="center" vertical="center" wrapText="1"/>
      <protection hidden="1"/>
    </xf>
    <xf numFmtId="0" fontId="19" fillId="5" borderId="43" xfId="0" applyFont="1" applyFill="1" applyBorder="1" applyAlignment="1" applyProtection="1">
      <alignment horizontal="center" vertical="center" wrapText="1"/>
      <protection hidden="1"/>
    </xf>
    <xf numFmtId="0" fontId="19" fillId="5" borderId="52" xfId="0" applyFont="1" applyFill="1" applyBorder="1" applyAlignment="1" applyProtection="1">
      <alignment horizontal="center" vertical="center" wrapText="1"/>
      <protection hidden="1"/>
    </xf>
    <xf numFmtId="0" fontId="4" fillId="5" borderId="11" xfId="0" applyFont="1" applyFill="1" applyBorder="1" applyAlignment="1" applyProtection="1">
      <alignment horizontal="center"/>
      <protection hidden="1"/>
    </xf>
    <xf numFmtId="0" fontId="0" fillId="0" borderId="51" xfId="0" applyBorder="1" applyAlignment="1">
      <alignment horizontal="center"/>
    </xf>
    <xf numFmtId="0" fontId="0" fillId="0" borderId="45" xfId="0" applyBorder="1" applyAlignment="1">
      <alignment horizontal="center"/>
    </xf>
    <xf numFmtId="0" fontId="29" fillId="12" borderId="24" xfId="0" applyFont="1" applyFill="1" applyBorder="1" applyAlignment="1" applyProtection="1">
      <alignment horizontal="center"/>
      <protection hidden="1"/>
    </xf>
    <xf numFmtId="0" fontId="29" fillId="12" borderId="8" xfId="0" applyFont="1" applyFill="1" applyBorder="1" applyAlignment="1" applyProtection="1">
      <alignment horizontal="center"/>
      <protection hidden="1"/>
    </xf>
    <xf numFmtId="0" fontId="29" fillId="12" borderId="5" xfId="0" applyFont="1" applyFill="1" applyBorder="1" applyAlignment="1" applyProtection="1">
      <alignment horizontal="center" vertical="center" wrapText="1"/>
      <protection hidden="1"/>
    </xf>
    <xf numFmtId="0" fontId="29" fillId="12" borderId="14" xfId="0" applyFont="1" applyFill="1" applyBorder="1" applyAlignment="1" applyProtection="1">
      <alignment horizontal="center" vertical="center" wrapText="1"/>
      <protection hidden="1"/>
    </xf>
    <xf numFmtId="0" fontId="29" fillId="12" borderId="22" xfId="0" applyFont="1" applyFill="1" applyBorder="1" applyAlignment="1" applyProtection="1">
      <alignment horizontal="center" vertical="center" wrapText="1"/>
      <protection hidden="1"/>
    </xf>
    <xf numFmtId="0" fontId="2" fillId="5" borderId="24" xfId="0" applyFont="1" applyFill="1" applyBorder="1" applyAlignment="1" applyProtection="1">
      <alignment horizontal="left"/>
      <protection hidden="1"/>
    </xf>
    <xf numFmtId="0" fontId="2" fillId="5" borderId="23" xfId="0" applyFont="1" applyFill="1" applyBorder="1" applyAlignment="1" applyProtection="1">
      <alignment horizontal="left"/>
      <protection hidden="1"/>
    </xf>
    <xf numFmtId="0" fontId="2" fillId="5" borderId="8" xfId="0" applyFont="1" applyFill="1" applyBorder="1" applyAlignment="1" applyProtection="1">
      <alignment horizontal="left"/>
      <protection hidden="1"/>
    </xf>
    <xf numFmtId="0" fontId="23" fillId="5" borderId="36" xfId="0" applyFont="1" applyFill="1" applyBorder="1" applyAlignment="1" applyProtection="1">
      <alignment horizontal="center"/>
      <protection hidden="1"/>
    </xf>
    <xf numFmtId="0" fontId="0" fillId="0" borderId="18" xfId="0" applyBorder="1" applyAlignment="1" applyProtection="1">
      <alignment horizontal="center" wrapText="1"/>
      <protection hidden="1"/>
    </xf>
    <xf numFmtId="0" fontId="0" fillId="0" borderId="52" xfId="0" applyBorder="1" applyAlignment="1" applyProtection="1">
      <alignment horizontal="center"/>
      <protection hidden="1"/>
    </xf>
    <xf numFmtId="0" fontId="4" fillId="5" borderId="5" xfId="0" applyFont="1" applyFill="1" applyBorder="1" applyAlignment="1" applyProtection="1">
      <alignment horizontal="center" vertical="center"/>
      <protection hidden="1"/>
    </xf>
    <xf numFmtId="0" fontId="4" fillId="5" borderId="22" xfId="0" applyFont="1" applyFill="1" applyBorder="1" applyAlignment="1" applyProtection="1">
      <alignment horizontal="center" vertical="center"/>
      <protection hidden="1"/>
    </xf>
    <xf numFmtId="0" fontId="2" fillId="21" borderId="11" xfId="0" applyFont="1" applyFill="1" applyBorder="1" applyAlignment="1" applyProtection="1">
      <alignment horizontal="left"/>
      <protection hidden="1"/>
    </xf>
    <xf numFmtId="0" fontId="2" fillId="21" borderId="51" xfId="0" applyFont="1" applyFill="1" applyBorder="1" applyAlignment="1" applyProtection="1">
      <alignment horizontal="left"/>
      <protection hidden="1"/>
    </xf>
    <xf numFmtId="0" fontId="2" fillId="21" borderId="45" xfId="0" applyFont="1" applyFill="1" applyBorder="1" applyAlignment="1" applyProtection="1">
      <alignment horizontal="left"/>
      <protection hidden="1"/>
    </xf>
    <xf numFmtId="4" fontId="4" fillId="0" borderId="0" xfId="0" applyNumberFormat="1" applyFont="1" applyAlignment="1" applyProtection="1">
      <alignment horizontal="center" vertical="center"/>
      <protection hidden="1"/>
    </xf>
    <xf numFmtId="4" fontId="1" fillId="16" borderId="24" xfId="0" quotePrefix="1" applyNumberFormat="1" applyFont="1" applyFill="1" applyBorder="1" applyAlignment="1" applyProtection="1">
      <alignment horizontal="center"/>
      <protection hidden="1"/>
    </xf>
    <xf numFmtId="4" fontId="1" fillId="16" borderId="23" xfId="0" applyNumberFormat="1" applyFont="1" applyFill="1" applyBorder="1" applyAlignment="1" applyProtection="1">
      <alignment horizontal="center"/>
      <protection hidden="1"/>
    </xf>
    <xf numFmtId="4" fontId="1" fillId="16" borderId="8" xfId="0" applyNumberFormat="1" applyFont="1" applyFill="1" applyBorder="1" applyAlignment="1" applyProtection="1">
      <alignment horizontal="center"/>
      <protection hidden="1"/>
    </xf>
    <xf numFmtId="0" fontId="4" fillId="5" borderId="35" xfId="0" applyFont="1" applyFill="1" applyBorder="1" applyAlignment="1" applyProtection="1">
      <alignment horizontal="center" vertical="center"/>
      <protection hidden="1"/>
    </xf>
    <xf numFmtId="0" fontId="4" fillId="5" borderId="34" xfId="0" applyFont="1" applyFill="1" applyBorder="1" applyAlignment="1" applyProtection="1">
      <alignment horizontal="center" vertical="center"/>
      <protection hidden="1"/>
    </xf>
    <xf numFmtId="0" fontId="4" fillId="5" borderId="36" xfId="0" applyFont="1" applyFill="1" applyBorder="1" applyAlignment="1" applyProtection="1">
      <alignment horizontal="center" vertical="center"/>
      <protection hidden="1"/>
    </xf>
    <xf numFmtId="0" fontId="4" fillId="5" borderId="38" xfId="0" applyFont="1" applyFill="1" applyBorder="1" applyAlignment="1" applyProtection="1">
      <alignment horizontal="center" vertical="center"/>
      <protection hidden="1"/>
    </xf>
    <xf numFmtId="0" fontId="4" fillId="5" borderId="1" xfId="0" applyFont="1" applyFill="1" applyBorder="1" applyAlignment="1" applyProtection="1">
      <alignment horizontal="center" vertical="center"/>
      <protection hidden="1"/>
    </xf>
    <xf numFmtId="0" fontId="4" fillId="5" borderId="21" xfId="0" applyFont="1" applyFill="1" applyBorder="1" applyAlignment="1" applyProtection="1">
      <alignment horizontal="center" vertical="center"/>
      <protection hidden="1"/>
    </xf>
    <xf numFmtId="4" fontId="4" fillId="5" borderId="14" xfId="0" applyNumberFormat="1" applyFont="1" applyFill="1" applyBorder="1" applyAlignment="1" applyProtection="1">
      <alignment horizontal="center" vertical="center"/>
      <protection hidden="1"/>
    </xf>
    <xf numFmtId="4" fontId="4" fillId="5" borderId="22" xfId="0" applyNumberFormat="1" applyFont="1" applyFill="1" applyBorder="1" applyAlignment="1" applyProtection="1">
      <alignment horizontal="center" vertical="center"/>
      <protection hidden="1"/>
    </xf>
    <xf numFmtId="0" fontId="0" fillId="0" borderId="22" xfId="0" applyBorder="1" applyAlignment="1">
      <alignment horizontal="center" vertical="center"/>
    </xf>
    <xf numFmtId="4" fontId="4" fillId="5" borderId="5" xfId="0" applyNumberFormat="1" applyFont="1" applyFill="1" applyBorder="1" applyAlignment="1" applyProtection="1">
      <alignment horizontal="center" vertical="center"/>
      <protection hidden="1"/>
    </xf>
    <xf numFmtId="0" fontId="0" fillId="21" borderId="11" xfId="0" applyFill="1" applyBorder="1" applyAlignment="1" applyProtection="1">
      <protection hidden="1"/>
    </xf>
    <xf numFmtId="0" fontId="0" fillId="21" borderId="51" xfId="0" applyFill="1" applyBorder="1" applyAlignment="1" applyProtection="1">
      <protection hidden="1"/>
    </xf>
    <xf numFmtId="0" fontId="0" fillId="21" borderId="45" xfId="0" applyFill="1" applyBorder="1" applyAlignment="1" applyProtection="1">
      <protection hidden="1"/>
    </xf>
    <xf numFmtId="0" fontId="4" fillId="0" borderId="0" xfId="0" applyFont="1" applyAlignment="1" applyProtection="1">
      <alignment horizontal="center" vertical="center"/>
      <protection hidden="1"/>
    </xf>
    <xf numFmtId="4" fontId="1" fillId="16" borderId="35" xfId="0" applyNumberFormat="1" applyFont="1" applyFill="1" applyBorder="1" applyAlignment="1" applyProtection="1">
      <alignment horizontal="center"/>
      <protection hidden="1"/>
    </xf>
    <xf numFmtId="4" fontId="0" fillId="16" borderId="34" xfId="0" applyNumberFormat="1" applyFill="1" applyBorder="1" applyAlignment="1" applyProtection="1">
      <alignment horizontal="center"/>
      <protection hidden="1"/>
    </xf>
    <xf numFmtId="4" fontId="0" fillId="16" borderId="36" xfId="0" applyNumberFormat="1" applyFill="1" applyBorder="1" applyAlignment="1" applyProtection="1">
      <alignment horizontal="center"/>
      <protection hidden="1"/>
    </xf>
    <xf numFmtId="0" fontId="2" fillId="16" borderId="24" xfId="0" applyFont="1" applyFill="1" applyBorder="1" applyAlignment="1" applyProtection="1">
      <alignment horizontal="left"/>
      <protection hidden="1"/>
    </xf>
    <xf numFmtId="0" fontId="2" fillId="16" borderId="23" xfId="0" applyFont="1" applyFill="1" applyBorder="1" applyAlignment="1" applyProtection="1">
      <alignment horizontal="left"/>
      <protection hidden="1"/>
    </xf>
    <xf numFmtId="0" fontId="2" fillId="16" borderId="8" xfId="0" applyFont="1" applyFill="1" applyBorder="1" applyAlignment="1" applyProtection="1">
      <alignment horizontal="left"/>
      <protection hidden="1"/>
    </xf>
    <xf numFmtId="0" fontId="2" fillId="0" borderId="24" xfId="0" applyFont="1" applyBorder="1" applyAlignment="1" applyProtection="1">
      <alignment horizontal="left"/>
      <protection locked="0" hidden="1"/>
    </xf>
    <xf numFmtId="0" fontId="2" fillId="0" borderId="23" xfId="0" applyFont="1" applyBorder="1" applyAlignment="1" applyProtection="1">
      <alignment horizontal="left"/>
      <protection locked="0" hidden="1"/>
    </xf>
    <xf numFmtId="0" fontId="2" fillId="14" borderId="27" xfId="0" applyFont="1" applyFill="1" applyBorder="1" applyAlignment="1" applyProtection="1">
      <protection hidden="1"/>
    </xf>
    <xf numFmtId="0" fontId="2" fillId="14" borderId="28" xfId="0" applyFont="1" applyFill="1" applyBorder="1" applyAlignment="1" applyProtection="1">
      <protection hidden="1"/>
    </xf>
    <xf numFmtId="0" fontId="2" fillId="14" borderId="29" xfId="0" applyFont="1" applyFill="1" applyBorder="1" applyAlignment="1" applyProtection="1">
      <protection hidden="1"/>
    </xf>
    <xf numFmtId="0" fontId="1" fillId="14" borderId="27" xfId="0" applyFont="1" applyFill="1" applyBorder="1" applyAlignment="1" applyProtection="1">
      <alignment horizontal="center" vertical="top" wrapText="1"/>
      <protection hidden="1"/>
    </xf>
    <xf numFmtId="0" fontId="1" fillId="14" borderId="28" xfId="0" applyFont="1" applyFill="1" applyBorder="1" applyAlignment="1" applyProtection="1">
      <alignment horizontal="center" vertical="top" wrapText="1"/>
      <protection hidden="1"/>
    </xf>
    <xf numFmtId="0" fontId="1" fillId="14" borderId="29" xfId="0" applyFont="1" applyFill="1" applyBorder="1" applyAlignment="1" applyProtection="1">
      <alignment horizontal="center" vertical="top" wrapText="1"/>
      <protection hidden="1"/>
    </xf>
    <xf numFmtId="0" fontId="1" fillId="14" borderId="30" xfId="0" applyFont="1" applyFill="1" applyBorder="1" applyAlignment="1" applyProtection="1">
      <alignment horizontal="center" vertical="top" wrapText="1"/>
      <protection hidden="1"/>
    </xf>
    <xf numFmtId="0" fontId="1" fillId="14" borderId="0" xfId="0" applyFont="1" applyFill="1" applyAlignment="1" applyProtection="1">
      <alignment horizontal="center" vertical="top" wrapText="1"/>
      <protection hidden="1"/>
    </xf>
    <xf numFmtId="0" fontId="1" fillId="14" borderId="31" xfId="0" applyFont="1" applyFill="1" applyBorder="1" applyAlignment="1" applyProtection="1">
      <alignment horizontal="center" vertical="top" wrapText="1"/>
      <protection hidden="1"/>
    </xf>
    <xf numFmtId="0" fontId="1" fillId="14" borderId="26" xfId="0" applyFont="1" applyFill="1" applyBorder="1" applyAlignment="1" applyProtection="1">
      <alignment horizontal="center" vertical="top" wrapText="1"/>
      <protection hidden="1"/>
    </xf>
    <xf numFmtId="0" fontId="1" fillId="14" borderId="32" xfId="0" applyFont="1" applyFill="1" applyBorder="1" applyAlignment="1" applyProtection="1">
      <alignment horizontal="center" vertical="top" wrapText="1"/>
      <protection hidden="1"/>
    </xf>
    <xf numFmtId="0" fontId="1" fillId="14" borderId="33" xfId="0" applyFont="1" applyFill="1" applyBorder="1" applyAlignment="1" applyProtection="1">
      <alignment horizontal="center" vertical="top" wrapText="1"/>
      <protection hidden="1"/>
    </xf>
    <xf numFmtId="0" fontId="0" fillId="15" borderId="5" xfId="0" applyFill="1" applyBorder="1" applyAlignment="1" applyProtection="1">
      <alignment horizontal="center"/>
      <protection hidden="1"/>
    </xf>
    <xf numFmtId="0" fontId="0" fillId="15" borderId="14" xfId="0" applyFill="1" applyBorder="1" applyAlignment="1" applyProtection="1">
      <alignment horizontal="center"/>
      <protection hidden="1"/>
    </xf>
    <xf numFmtId="0" fontId="0" fillId="15" borderId="22" xfId="0" applyFill="1" applyBorder="1" applyAlignment="1" applyProtection="1">
      <alignment horizontal="center"/>
      <protection hidden="1"/>
    </xf>
    <xf numFmtId="0" fontId="0" fillId="2" borderId="0" xfId="0" applyFill="1" applyAlignment="1" applyProtection="1">
      <alignment horizontal="center"/>
      <protection hidden="1"/>
    </xf>
    <xf numFmtId="0" fontId="4" fillId="5" borderId="24" xfId="0" applyFont="1" applyFill="1" applyBorder="1" applyAlignment="1" applyProtection="1">
      <alignment horizontal="center"/>
      <protection hidden="1"/>
    </xf>
    <xf numFmtId="0" fontId="4" fillId="5" borderId="23" xfId="0" applyFont="1" applyFill="1" applyBorder="1" applyAlignment="1" applyProtection="1">
      <alignment horizontal="center"/>
      <protection hidden="1"/>
    </xf>
    <xf numFmtId="0" fontId="0" fillId="13" borderId="5" xfId="0" applyFill="1" applyBorder="1" applyAlignment="1" applyProtection="1">
      <alignment horizontal="center" vertical="center"/>
      <protection hidden="1"/>
    </xf>
    <xf numFmtId="0" fontId="0" fillId="13" borderId="14" xfId="0" applyFill="1" applyBorder="1" applyAlignment="1" applyProtection="1">
      <alignment horizontal="center" vertical="center"/>
      <protection hidden="1"/>
    </xf>
    <xf numFmtId="0" fontId="0" fillId="13" borderId="22" xfId="0" applyFill="1" applyBorder="1" applyAlignment="1" applyProtection="1">
      <alignment horizontal="center" vertical="center"/>
      <protection hidden="1"/>
    </xf>
    <xf numFmtId="0" fontId="22" fillId="13" borderId="5" xfId="0" applyFont="1" applyFill="1" applyBorder="1" applyAlignment="1" applyProtection="1">
      <alignment horizontal="center" vertical="center" wrapText="1"/>
      <protection hidden="1"/>
    </xf>
    <xf numFmtId="0" fontId="22" fillId="13" borderId="14" xfId="0" applyFont="1" applyFill="1" applyBorder="1" applyAlignment="1" applyProtection="1">
      <alignment horizontal="center" vertical="center" wrapText="1"/>
      <protection hidden="1"/>
    </xf>
    <xf numFmtId="0" fontId="22" fillId="13" borderId="22" xfId="0" applyFont="1" applyFill="1" applyBorder="1" applyAlignment="1" applyProtection="1">
      <alignment horizontal="center" vertical="center" wrapText="1"/>
      <protection hidden="1"/>
    </xf>
    <xf numFmtId="0" fontId="2" fillId="5" borderId="13" xfId="0" applyFont="1" applyFill="1" applyBorder="1" applyAlignment="1" applyProtection="1">
      <alignment vertical="center" wrapText="1"/>
      <protection hidden="1"/>
    </xf>
    <xf numFmtId="0" fontId="2" fillId="5" borderId="21" xfId="0" applyFont="1" applyFill="1" applyBorder="1" applyAlignment="1" applyProtection="1">
      <alignment vertical="center" wrapText="1"/>
      <protection hidden="1"/>
    </xf>
    <xf numFmtId="0" fontId="22" fillId="14" borderId="5" xfId="0" applyFont="1" applyFill="1" applyBorder="1" applyAlignment="1" applyProtection="1">
      <alignment horizontal="center" vertical="center" wrapText="1"/>
      <protection hidden="1"/>
    </xf>
    <xf numFmtId="0" fontId="22" fillId="14" borderId="14" xfId="0" applyFont="1" applyFill="1" applyBorder="1" applyAlignment="1" applyProtection="1">
      <alignment horizontal="center" vertical="center" wrapText="1"/>
      <protection hidden="1"/>
    </xf>
    <xf numFmtId="0" fontId="22" fillId="14" borderId="22" xfId="0" applyFont="1" applyFill="1" applyBorder="1" applyAlignment="1" applyProtection="1">
      <alignment horizontal="center" vertical="center" wrapText="1"/>
      <protection hidden="1"/>
    </xf>
    <xf numFmtId="0" fontId="5" fillId="0" borderId="24" xfId="0" applyFont="1" applyBorder="1" applyAlignment="1" applyProtection="1">
      <alignment horizontal="left"/>
      <protection locked="0" hidden="1"/>
    </xf>
    <xf numFmtId="0" fontId="2" fillId="0" borderId="23" xfId="0" applyFont="1" applyBorder="1" applyAlignment="1"/>
    <xf numFmtId="0" fontId="2" fillId="0" borderId="8" xfId="0" applyFont="1" applyBorder="1" applyAlignment="1"/>
    <xf numFmtId="0" fontId="2" fillId="5" borderId="43" xfId="0" applyFont="1" applyFill="1" applyBorder="1" applyAlignment="1" applyProtection="1">
      <alignment horizontal="center" vertical="center"/>
      <protection hidden="1"/>
    </xf>
    <xf numFmtId="0" fontId="2" fillId="5" borderId="52" xfId="0" applyFont="1" applyFill="1" applyBorder="1" applyAlignment="1" applyProtection="1">
      <alignment horizontal="center" vertical="center"/>
      <protection hidden="1"/>
    </xf>
    <xf numFmtId="0" fontId="19" fillId="5" borderId="24" xfId="0" applyFont="1" applyFill="1" applyBorder="1" applyAlignment="1" applyProtection="1">
      <alignment horizontal="center"/>
      <protection hidden="1"/>
    </xf>
    <xf numFmtId="0" fontId="19" fillId="5" borderId="23" xfId="0" applyFont="1" applyFill="1" applyBorder="1" applyAlignment="1" applyProtection="1">
      <alignment horizontal="center"/>
      <protection hidden="1"/>
    </xf>
    <xf numFmtId="0" fontId="2" fillId="8" borderId="24" xfId="0" applyFont="1" applyFill="1" applyBorder="1" applyAlignment="1" applyProtection="1">
      <alignment horizontal="left"/>
      <protection hidden="1"/>
    </xf>
    <xf numFmtId="0" fontId="2" fillId="8" borderId="23" xfId="0" applyFont="1" applyFill="1" applyBorder="1" applyAlignment="1" applyProtection="1">
      <alignment horizontal="left"/>
      <protection hidden="1"/>
    </xf>
    <xf numFmtId="0" fontId="2" fillId="8" borderId="8" xfId="0" applyFont="1" applyFill="1" applyBorder="1" applyAlignment="1" applyProtection="1">
      <alignment horizontal="left"/>
      <protection hidden="1"/>
    </xf>
    <xf numFmtId="0" fontId="22" fillId="15" borderId="5" xfId="0" applyFont="1" applyFill="1" applyBorder="1" applyAlignment="1" applyProtection="1">
      <alignment horizontal="center" vertical="center" wrapText="1"/>
      <protection hidden="1"/>
    </xf>
    <xf numFmtId="0" fontId="24" fillId="15" borderId="14" xfId="0" applyFont="1" applyFill="1" applyBorder="1" applyAlignment="1" applyProtection="1">
      <alignment horizontal="center" vertical="center" wrapText="1"/>
      <protection hidden="1"/>
    </xf>
    <xf numFmtId="0" fontId="24" fillId="15" borderId="22" xfId="0" applyFont="1" applyFill="1" applyBorder="1" applyAlignment="1" applyProtection="1">
      <alignment horizontal="center" vertical="center" wrapText="1"/>
      <protection hidden="1"/>
    </xf>
    <xf numFmtId="0" fontId="2" fillId="5" borderId="5" xfId="0" applyFont="1" applyFill="1" applyBorder="1" applyAlignment="1" applyProtection="1">
      <alignment vertical="center" wrapText="1"/>
      <protection hidden="1"/>
    </xf>
    <xf numFmtId="0" fontId="2" fillId="5" borderId="14" xfId="0" applyFont="1" applyFill="1" applyBorder="1" applyAlignment="1" applyProtection="1">
      <alignment vertical="center" wrapText="1"/>
      <protection hidden="1"/>
    </xf>
    <xf numFmtId="0" fontId="2" fillId="5" borderId="22" xfId="0" applyFont="1" applyFill="1" applyBorder="1" applyAlignment="1" applyProtection="1">
      <alignment vertical="center" wrapText="1"/>
      <protection hidden="1"/>
    </xf>
    <xf numFmtId="0" fontId="19" fillId="5" borderId="8" xfId="0" applyFont="1" applyFill="1" applyBorder="1" applyAlignment="1" applyProtection="1">
      <alignment horizontal="center"/>
      <protection hidden="1"/>
    </xf>
    <xf numFmtId="0" fontId="2" fillId="21" borderId="27" xfId="0" applyFont="1" applyFill="1" applyBorder="1" applyAlignment="1" applyProtection="1">
      <alignment horizontal="left" vertical="top" wrapText="1"/>
      <protection hidden="1"/>
    </xf>
    <xf numFmtId="0" fontId="2" fillId="21" borderId="28" xfId="0" applyFont="1" applyFill="1" applyBorder="1" applyAlignment="1" applyProtection="1">
      <alignment horizontal="left" vertical="top" wrapText="1"/>
      <protection hidden="1"/>
    </xf>
    <xf numFmtId="0" fontId="2" fillId="21" borderId="30" xfId="0" applyFont="1" applyFill="1" applyBorder="1" applyAlignment="1" applyProtection="1">
      <alignment horizontal="left" vertical="top" wrapText="1"/>
      <protection hidden="1"/>
    </xf>
    <xf numFmtId="0" fontId="2" fillId="21" borderId="0" xfId="0" applyFont="1" applyFill="1" applyAlignment="1" applyProtection="1">
      <alignment horizontal="left" vertical="top" wrapText="1"/>
      <protection hidden="1"/>
    </xf>
    <xf numFmtId="0" fontId="2" fillId="21" borderId="26" xfId="0" applyFont="1" applyFill="1" applyBorder="1" applyAlignment="1" applyProtection="1">
      <alignment horizontal="left" vertical="top" wrapText="1"/>
      <protection hidden="1"/>
    </xf>
    <xf numFmtId="0" fontId="2" fillId="21" borderId="32" xfId="0" applyFont="1" applyFill="1" applyBorder="1" applyAlignment="1" applyProtection="1">
      <alignment horizontal="left" vertical="top" wrapText="1"/>
      <protection hidden="1"/>
    </xf>
    <xf numFmtId="0" fontId="3" fillId="0" borderId="3" xfId="0" applyFont="1" applyBorder="1" applyAlignment="1" applyProtection="1">
      <alignment horizontal="center" wrapText="1"/>
      <protection hidden="1"/>
    </xf>
    <xf numFmtId="0" fontId="2" fillId="5" borderId="12" xfId="0" applyFont="1" applyFill="1" applyBorder="1" applyAlignment="1" applyProtection="1">
      <alignment horizontal="center" vertical="center"/>
      <protection hidden="1"/>
    </xf>
    <xf numFmtId="0" fontId="2" fillId="5" borderId="53" xfId="0" applyFont="1" applyFill="1" applyBorder="1" applyAlignment="1" applyProtection="1">
      <alignment horizontal="center" vertical="center"/>
      <protection hidden="1"/>
    </xf>
    <xf numFmtId="0" fontId="0" fillId="14" borderId="5" xfId="0" applyFill="1" applyBorder="1" applyAlignment="1" applyProtection="1">
      <alignment horizontal="center"/>
      <protection hidden="1"/>
    </xf>
    <xf numFmtId="0" fontId="0" fillId="14" borderId="14" xfId="0" applyFill="1" applyBorder="1" applyAlignment="1" applyProtection="1">
      <alignment horizontal="center"/>
      <protection hidden="1"/>
    </xf>
    <xf numFmtId="0" fontId="0" fillId="14" borderId="22" xfId="0" applyFill="1" applyBorder="1" applyAlignment="1" applyProtection="1">
      <alignment horizontal="center"/>
      <protection hidden="1"/>
    </xf>
    <xf numFmtId="0" fontId="2" fillId="5" borderId="43" xfId="0" applyFont="1" applyFill="1" applyBorder="1" applyAlignment="1" applyProtection="1">
      <alignment vertical="center" wrapText="1"/>
      <protection hidden="1"/>
    </xf>
    <xf numFmtId="0" fontId="2" fillId="5" borderId="52" xfId="0" applyFont="1" applyFill="1" applyBorder="1" applyAlignment="1" applyProtection="1">
      <alignment vertical="center" wrapText="1"/>
      <protection hidden="1"/>
    </xf>
    <xf numFmtId="0" fontId="2" fillId="5" borderId="30" xfId="0" applyFont="1" applyFill="1" applyBorder="1" applyAlignment="1" applyProtection="1">
      <alignment vertical="center" wrapText="1"/>
      <protection hidden="1"/>
    </xf>
    <xf numFmtId="0" fontId="2" fillId="5" borderId="54" xfId="0" applyFont="1" applyFill="1" applyBorder="1" applyAlignment="1" applyProtection="1">
      <alignment vertical="center" wrapText="1"/>
      <protection hidden="1"/>
    </xf>
    <xf numFmtId="0" fontId="2" fillId="5" borderId="5" xfId="0" applyFont="1" applyFill="1" applyBorder="1" applyAlignment="1" applyProtection="1">
      <alignment horizontal="center" vertical="center" wrapText="1"/>
      <protection hidden="1"/>
    </xf>
    <xf numFmtId="0" fontId="2" fillId="5" borderId="14" xfId="0" applyFont="1" applyFill="1" applyBorder="1" applyAlignment="1" applyProtection="1">
      <alignment horizontal="center" vertical="center" wrapText="1"/>
      <protection hidden="1"/>
    </xf>
    <xf numFmtId="0" fontId="2" fillId="5" borderId="22" xfId="0" applyFont="1" applyFill="1" applyBorder="1" applyAlignment="1" applyProtection="1">
      <alignment horizontal="center" vertical="center" wrapText="1"/>
      <protection hidden="1"/>
    </xf>
    <xf numFmtId="0" fontId="0" fillId="2" borderId="28" xfId="0" applyFill="1" applyBorder="1" applyAlignment="1" applyProtection="1">
      <alignment horizontal="center" vertical="top"/>
      <protection hidden="1"/>
    </xf>
    <xf numFmtId="0" fontId="0" fillId="2" borderId="0" xfId="0" applyFill="1" applyAlignment="1" applyProtection="1">
      <alignment wrapText="1"/>
      <protection hidden="1"/>
    </xf>
    <xf numFmtId="0" fontId="0" fillId="2" borderId="0" xfId="0" applyFill="1" applyAlignment="1">
      <alignment wrapText="1"/>
    </xf>
    <xf numFmtId="0" fontId="2" fillId="2" borderId="0" xfId="0" applyFont="1" applyFill="1" applyAlignment="1" applyProtection="1">
      <alignment wrapText="1"/>
      <protection hidden="1"/>
    </xf>
    <xf numFmtId="0" fontId="2" fillId="2" borderId="0" xfId="0" applyFont="1" applyFill="1" applyAlignment="1" applyProtection="1">
      <alignment horizontal="left"/>
      <protection hidden="1"/>
    </xf>
    <xf numFmtId="0" fontId="0" fillId="2" borderId="0" xfId="0" applyFill="1" applyAlignment="1" applyProtection="1">
      <alignment vertical="center" wrapText="1"/>
      <protection hidden="1"/>
    </xf>
    <xf numFmtId="4" fontId="0" fillId="2" borderId="3" xfId="0" applyNumberFormat="1" applyFill="1" applyBorder="1" applyAlignment="1" applyProtection="1">
      <alignment horizontal="right"/>
      <protection hidden="1"/>
    </xf>
    <xf numFmtId="0" fontId="5" fillId="0" borderId="24" xfId="0" applyFont="1" applyBorder="1" applyAlignment="1" applyProtection="1">
      <alignment horizontal="left"/>
      <protection hidden="1"/>
    </xf>
    <xf numFmtId="0" fontId="5" fillId="0" borderId="23" xfId="0" applyFont="1" applyBorder="1" applyAlignment="1" applyProtection="1">
      <alignment horizontal="left"/>
      <protection hidden="1"/>
    </xf>
    <xf numFmtId="0" fontId="1" fillId="3" borderId="27" xfId="0" applyFont="1" applyFill="1" applyBorder="1" applyAlignment="1" applyProtection="1">
      <alignment horizontal="left" vertical="top" wrapText="1"/>
      <protection hidden="1"/>
    </xf>
    <xf numFmtId="0" fontId="1" fillId="3" borderId="28" xfId="0" applyFont="1" applyFill="1" applyBorder="1" applyAlignment="1" applyProtection="1">
      <alignment horizontal="left" vertical="top" wrapText="1"/>
      <protection hidden="1"/>
    </xf>
    <xf numFmtId="0" fontId="1" fillId="3" borderId="29" xfId="0" applyFont="1" applyFill="1" applyBorder="1" applyAlignment="1" applyProtection="1">
      <alignment horizontal="left" vertical="top" wrapText="1"/>
      <protection hidden="1"/>
    </xf>
    <xf numFmtId="0" fontId="1" fillId="3" borderId="30" xfId="0" applyFont="1" applyFill="1" applyBorder="1" applyAlignment="1" applyProtection="1">
      <alignment horizontal="left" vertical="top" wrapText="1"/>
      <protection hidden="1"/>
    </xf>
    <xf numFmtId="0" fontId="1" fillId="3" borderId="0" xfId="0" applyFont="1" applyFill="1" applyAlignment="1" applyProtection="1">
      <alignment horizontal="left" vertical="top" wrapText="1"/>
      <protection hidden="1"/>
    </xf>
    <xf numFmtId="0" fontId="1" fillId="3" borderId="31" xfId="0" applyFont="1" applyFill="1" applyBorder="1" applyAlignment="1" applyProtection="1">
      <alignment horizontal="left" vertical="top" wrapText="1"/>
      <protection hidden="1"/>
    </xf>
    <xf numFmtId="0" fontId="1" fillId="3" borderId="26" xfId="0" applyFont="1" applyFill="1" applyBorder="1" applyAlignment="1" applyProtection="1">
      <alignment horizontal="left" vertical="top" wrapText="1"/>
      <protection hidden="1"/>
    </xf>
    <xf numFmtId="0" fontId="1" fillId="3" borderId="32" xfId="0" applyFont="1" applyFill="1" applyBorder="1" applyAlignment="1" applyProtection="1">
      <alignment horizontal="left" vertical="top" wrapText="1"/>
      <protection hidden="1"/>
    </xf>
    <xf numFmtId="0" fontId="1" fillId="3" borderId="33" xfId="0" applyFont="1" applyFill="1" applyBorder="1" applyAlignment="1" applyProtection="1">
      <alignment horizontal="left" vertical="top" wrapText="1"/>
      <protection hidden="1"/>
    </xf>
    <xf numFmtId="0" fontId="2" fillId="0" borderId="24" xfId="0" applyFont="1" applyBorder="1" applyAlignment="1" applyProtection="1">
      <alignment horizontal="left"/>
      <protection hidden="1"/>
    </xf>
    <xf numFmtId="0" fontId="2" fillId="0" borderId="8" xfId="0" applyFont="1" applyBorder="1" applyAlignment="1" applyProtection="1">
      <alignment horizontal="left"/>
      <protection hidden="1"/>
    </xf>
    <xf numFmtId="2" fontId="0" fillId="4" borderId="24" xfId="0" applyNumberFormat="1" applyFill="1" applyBorder="1" applyAlignment="1" applyProtection="1">
      <alignment horizontal="right"/>
      <protection locked="0" hidden="1"/>
    </xf>
    <xf numFmtId="2" fontId="0" fillId="4" borderId="8" xfId="0" applyNumberFormat="1" applyFill="1" applyBorder="1" applyAlignment="1" applyProtection="1">
      <alignment horizontal="right"/>
      <protection locked="0" hidden="1"/>
    </xf>
    <xf numFmtId="0" fontId="4" fillId="7" borderId="35" xfId="0" applyFont="1" applyFill="1" applyBorder="1" applyAlignment="1" applyProtection="1">
      <alignment horizontal="center" vertical="center"/>
      <protection hidden="1"/>
    </xf>
    <xf numFmtId="0" fontId="4" fillId="7" borderId="34" xfId="0" applyFont="1" applyFill="1" applyBorder="1" applyAlignment="1" applyProtection="1">
      <alignment horizontal="center" vertical="center"/>
      <protection hidden="1"/>
    </xf>
    <xf numFmtId="0" fontId="4" fillId="7" borderId="38" xfId="0" applyFont="1" applyFill="1" applyBorder="1" applyAlignment="1" applyProtection="1">
      <alignment horizontal="center" vertical="center"/>
      <protection hidden="1"/>
    </xf>
    <xf numFmtId="0" fontId="4" fillId="7" borderId="1" xfId="0" applyFont="1" applyFill="1" applyBorder="1" applyAlignment="1" applyProtection="1">
      <alignment horizontal="center" vertical="center"/>
      <protection hidden="1"/>
    </xf>
    <xf numFmtId="0" fontId="2" fillId="0" borderId="5" xfId="0" applyFont="1" applyBorder="1" applyAlignment="1" applyProtection="1">
      <alignment horizontal="center" vertical="center" wrapText="1"/>
      <protection hidden="1"/>
    </xf>
    <xf numFmtId="0" fontId="2" fillId="0" borderId="14" xfId="0" applyFont="1" applyBorder="1" applyAlignment="1" applyProtection="1">
      <alignment horizontal="center" vertical="center" wrapText="1"/>
      <protection hidden="1"/>
    </xf>
    <xf numFmtId="0" fontId="2" fillId="0" borderId="22" xfId="0" applyFont="1" applyBorder="1" applyAlignment="1" applyProtection="1">
      <alignment horizontal="center" vertical="center" wrapText="1"/>
      <protection hidden="1"/>
    </xf>
    <xf numFmtId="0" fontId="2" fillId="0" borderId="35" xfId="0" applyFont="1" applyBorder="1" applyAlignment="1" applyProtection="1">
      <alignment horizontal="center" vertical="center"/>
      <protection hidden="1"/>
    </xf>
    <xf numFmtId="0" fontId="2" fillId="0" borderId="36" xfId="0" applyFont="1" applyBorder="1" applyAlignment="1" applyProtection="1">
      <alignment horizontal="center" vertical="center"/>
      <protection hidden="1"/>
    </xf>
    <xf numFmtId="0" fontId="2" fillId="0" borderId="37" xfId="0" applyFont="1" applyBorder="1" applyAlignment="1" applyProtection="1">
      <alignment horizontal="center" vertical="center"/>
      <protection hidden="1"/>
    </xf>
    <xf numFmtId="0" fontId="2" fillId="0" borderId="13" xfId="0" applyFont="1" applyBorder="1" applyAlignment="1" applyProtection="1">
      <alignment horizontal="center" vertical="center"/>
      <protection hidden="1"/>
    </xf>
    <xf numFmtId="0" fontId="2" fillId="0" borderId="38" xfId="0" applyFont="1" applyBorder="1" applyAlignment="1" applyProtection="1">
      <alignment horizontal="center" vertical="center"/>
      <protection hidden="1"/>
    </xf>
    <xf numFmtId="0" fontId="2" fillId="0" borderId="21" xfId="0" applyFont="1" applyBorder="1" applyAlignment="1" applyProtection="1">
      <alignment horizontal="center" vertical="center"/>
      <protection hidden="1"/>
    </xf>
    <xf numFmtId="0" fontId="2" fillId="0" borderId="5" xfId="0" applyFont="1" applyBorder="1" applyAlignment="1" applyProtection="1">
      <alignment horizontal="center"/>
      <protection hidden="1"/>
    </xf>
    <xf numFmtId="0" fontId="2" fillId="0" borderId="14" xfId="0" applyFont="1" applyBorder="1" applyAlignment="1" applyProtection="1">
      <alignment horizontal="center"/>
      <protection hidden="1"/>
    </xf>
    <xf numFmtId="0" fontId="2" fillId="0" borderId="22" xfId="0" applyFont="1" applyBorder="1" applyAlignment="1" applyProtection="1">
      <alignment horizontal="center"/>
      <protection hidden="1"/>
    </xf>
    <xf numFmtId="0" fontId="0" fillId="4" borderId="24" xfId="0" applyFill="1" applyBorder="1" applyAlignment="1" applyProtection="1">
      <alignment horizontal="left"/>
      <protection locked="0" hidden="1"/>
    </xf>
    <xf numFmtId="0" fontId="0" fillId="4" borderId="23" xfId="0" applyFill="1" applyBorder="1" applyAlignment="1" applyProtection="1">
      <alignment horizontal="left"/>
      <protection locked="0" hidden="1"/>
    </xf>
    <xf numFmtId="0" fontId="0" fillId="4" borderId="8" xfId="0" applyFill="1" applyBorder="1" applyAlignment="1" applyProtection="1">
      <alignment horizontal="left"/>
      <protection locked="0" hidden="1"/>
    </xf>
    <xf numFmtId="0" fontId="4" fillId="7" borderId="24" xfId="0" applyFont="1" applyFill="1" applyBorder="1" applyAlignment="1" applyProtection="1">
      <alignment horizontal="center"/>
      <protection hidden="1"/>
    </xf>
    <xf numFmtId="0" fontId="4" fillId="7" borderId="23" xfId="0" applyFont="1" applyFill="1" applyBorder="1" applyAlignment="1" applyProtection="1">
      <alignment horizontal="center"/>
      <protection hidden="1"/>
    </xf>
    <xf numFmtId="0" fontId="4" fillId="7" borderId="8" xfId="0" applyFont="1" applyFill="1" applyBorder="1" applyAlignment="1" applyProtection="1">
      <alignment horizontal="center"/>
      <protection hidden="1"/>
    </xf>
    <xf numFmtId="0" fontId="2" fillId="0" borderId="23" xfId="0" applyFont="1" applyBorder="1" applyAlignment="1" applyProtection="1">
      <alignment horizontal="left"/>
      <protection hidden="1"/>
    </xf>
    <xf numFmtId="164" fontId="4" fillId="7" borderId="5" xfId="6" applyNumberFormat="1" applyFont="1" applyFill="1" applyBorder="1" applyAlignment="1" applyProtection="1">
      <alignment horizontal="center" vertical="center"/>
      <protection hidden="1"/>
    </xf>
    <xf numFmtId="164" fontId="4" fillId="7" borderId="22" xfId="6" applyNumberFormat="1" applyFont="1" applyFill="1" applyBorder="1" applyAlignment="1" applyProtection="1">
      <alignment horizontal="center" vertical="center"/>
      <protection hidden="1"/>
    </xf>
    <xf numFmtId="0" fontId="4" fillId="7" borderId="36" xfId="0" applyFont="1" applyFill="1" applyBorder="1" applyAlignment="1" applyProtection="1">
      <alignment horizontal="center" vertical="center"/>
      <protection hidden="1"/>
    </xf>
    <xf numFmtId="0" fontId="4" fillId="7" borderId="21" xfId="0" applyFont="1" applyFill="1" applyBorder="1" applyAlignment="1" applyProtection="1">
      <alignment horizontal="center" vertical="center"/>
      <protection hidden="1"/>
    </xf>
    <xf numFmtId="0" fontId="2" fillId="0" borderId="35" xfId="0" applyFont="1" applyBorder="1" applyAlignment="1" applyProtection="1">
      <alignment horizontal="center"/>
      <protection hidden="1"/>
    </xf>
    <xf numFmtId="0" fontId="2" fillId="0" borderId="34" xfId="0" applyFont="1" applyBorder="1" applyAlignment="1" applyProtection="1">
      <alignment horizontal="center"/>
      <protection hidden="1"/>
    </xf>
    <xf numFmtId="0" fontId="2" fillId="0" borderId="36" xfId="0" applyFont="1" applyBorder="1" applyAlignment="1" applyProtection="1">
      <alignment horizontal="center"/>
      <protection hidden="1"/>
    </xf>
    <xf numFmtId="0" fontId="2" fillId="0" borderId="37" xfId="0" applyFont="1" applyBorder="1" applyAlignment="1" applyProtection="1">
      <alignment horizontal="center"/>
      <protection hidden="1"/>
    </xf>
    <xf numFmtId="0" fontId="2" fillId="0" borderId="0" xfId="0" applyFont="1" applyAlignment="1" applyProtection="1">
      <alignment horizontal="center"/>
      <protection hidden="1"/>
    </xf>
    <xf numFmtId="0" fontId="2" fillId="0" borderId="13" xfId="0" applyFont="1" applyBorder="1" applyAlignment="1" applyProtection="1">
      <alignment horizontal="center"/>
      <protection hidden="1"/>
    </xf>
    <xf numFmtId="0" fontId="2" fillId="0" borderId="38" xfId="0" applyFont="1" applyBorder="1" applyAlignment="1" applyProtection="1">
      <alignment horizontal="center"/>
      <protection hidden="1"/>
    </xf>
    <xf numFmtId="0" fontId="2" fillId="0" borderId="1" xfId="0" applyFont="1" applyBorder="1" applyAlignment="1" applyProtection="1">
      <alignment horizontal="center"/>
      <protection hidden="1"/>
    </xf>
    <xf numFmtId="0" fontId="2" fillId="0" borderId="21" xfId="0" applyFont="1" applyBorder="1" applyAlignment="1" applyProtection="1">
      <alignment horizontal="center"/>
      <protection hidden="1"/>
    </xf>
    <xf numFmtId="0" fontId="2" fillId="2" borderId="0" xfId="0" applyFont="1" applyFill="1" applyAlignment="1" applyProtection="1">
      <protection hidden="1"/>
    </xf>
    <xf numFmtId="0" fontId="0" fillId="2" borderId="0" xfId="0" applyFill="1" applyAlignment="1"/>
    <xf numFmtId="0" fontId="0" fillId="4" borderId="38" xfId="0" applyFill="1" applyBorder="1" applyAlignment="1" applyProtection="1">
      <alignment horizontal="left"/>
      <protection locked="0" hidden="1"/>
    </xf>
    <xf numFmtId="0" fontId="0" fillId="4" borderId="1" xfId="0" applyFill="1" applyBorder="1" applyAlignment="1" applyProtection="1">
      <alignment horizontal="left"/>
      <protection locked="0" hidden="1"/>
    </xf>
    <xf numFmtId="0" fontId="0" fillId="4" borderId="21" xfId="0" applyFill="1" applyBorder="1" applyAlignment="1" applyProtection="1">
      <alignment horizontal="left"/>
      <protection locked="0" hidden="1"/>
    </xf>
    <xf numFmtId="0" fontId="4" fillId="4" borderId="24" xfId="0" applyFont="1" applyFill="1" applyBorder="1" applyAlignment="1" applyProtection="1">
      <alignment horizontal="center"/>
      <protection hidden="1"/>
    </xf>
    <xf numFmtId="0" fontId="4" fillId="4" borderId="23" xfId="0" applyFont="1" applyFill="1" applyBorder="1" applyAlignment="1" applyProtection="1">
      <alignment horizontal="center"/>
      <protection hidden="1"/>
    </xf>
    <xf numFmtId="0" fontId="4" fillId="4" borderId="8" xfId="0" applyFont="1" applyFill="1" applyBorder="1" applyAlignment="1" applyProtection="1">
      <alignment horizontal="center"/>
      <protection hidden="1"/>
    </xf>
    <xf numFmtId="0" fontId="0" fillId="0" borderId="5" xfId="0" applyBorder="1" applyAlignment="1" applyProtection="1">
      <alignment horizontal="center" vertical="center" wrapText="1"/>
      <protection hidden="1"/>
    </xf>
    <xf numFmtId="0" fontId="0" fillId="0" borderId="14" xfId="0" applyBorder="1" applyAlignment="1" applyProtection="1">
      <alignment horizontal="center" vertical="center" wrapText="1"/>
      <protection hidden="1"/>
    </xf>
    <xf numFmtId="0" fontId="0" fillId="0" borderId="22" xfId="0" applyBorder="1" applyAlignment="1" applyProtection="1">
      <alignment horizontal="center" vertical="center" wrapText="1"/>
      <protection hidden="1"/>
    </xf>
    <xf numFmtId="0" fontId="0" fillId="0" borderId="35" xfId="0" applyBorder="1" applyAlignment="1" applyProtection="1">
      <alignment horizontal="center" vertical="center" wrapText="1"/>
      <protection hidden="1"/>
    </xf>
    <xf numFmtId="0" fontId="0" fillId="0" borderId="37" xfId="0" applyBorder="1" applyAlignment="1" applyProtection="1">
      <alignment horizontal="center" vertical="center" wrapText="1"/>
      <protection hidden="1"/>
    </xf>
    <xf numFmtId="0" fontId="0" fillId="0" borderId="38" xfId="0" applyBorder="1" applyAlignment="1" applyProtection="1">
      <alignment horizontal="center" vertical="center" wrapText="1"/>
      <protection hidden="1"/>
    </xf>
    <xf numFmtId="0" fontId="5" fillId="0" borderId="8" xfId="0" applyFont="1" applyBorder="1" applyAlignment="1" applyProtection="1">
      <alignment horizontal="left"/>
      <protection hidden="1"/>
    </xf>
    <xf numFmtId="0" fontId="0" fillId="2" borderId="5" xfId="0" applyFill="1" applyBorder="1" applyAlignment="1" applyProtection="1">
      <alignment horizontal="center" vertical="center" wrapText="1"/>
      <protection hidden="1"/>
    </xf>
    <xf numFmtId="0" fontId="0" fillId="2" borderId="14" xfId="0" applyFill="1" applyBorder="1" applyAlignment="1" applyProtection="1">
      <alignment horizontal="center" vertical="center" wrapText="1"/>
      <protection hidden="1"/>
    </xf>
    <xf numFmtId="0" fontId="0" fillId="2" borderId="22" xfId="0" applyFill="1" applyBorder="1" applyAlignment="1" applyProtection="1">
      <alignment horizontal="center" vertical="center" wrapText="1"/>
      <protection hidden="1"/>
    </xf>
    <xf numFmtId="0" fontId="0" fillId="2" borderId="34" xfId="0" applyFill="1" applyBorder="1" applyAlignment="1" applyProtection="1">
      <alignment horizontal="center" vertical="center" wrapText="1"/>
      <protection hidden="1"/>
    </xf>
    <xf numFmtId="0" fontId="0" fillId="2" borderId="36" xfId="0" applyFill="1" applyBorder="1" applyAlignment="1" applyProtection="1">
      <alignment horizontal="center" vertical="center" wrapText="1"/>
      <protection hidden="1"/>
    </xf>
    <xf numFmtId="0" fontId="0" fillId="2" borderId="0" xfId="0" applyFill="1" applyAlignment="1" applyProtection="1">
      <alignment horizontal="center" vertical="center" wrapText="1"/>
      <protection hidden="1"/>
    </xf>
    <xf numFmtId="0" fontId="0" fillId="2" borderId="13" xfId="0" applyFill="1" applyBorder="1" applyAlignment="1" applyProtection="1">
      <alignment horizontal="center" vertical="center" wrapText="1"/>
      <protection hidden="1"/>
    </xf>
    <xf numFmtId="0" fontId="0" fillId="2" borderId="1" xfId="0" applyFill="1" applyBorder="1" applyAlignment="1" applyProtection="1">
      <alignment horizontal="center" vertical="center" wrapText="1"/>
      <protection hidden="1"/>
    </xf>
    <xf numFmtId="0" fontId="0" fillId="2" borderId="21" xfId="0" applyFill="1" applyBorder="1" applyAlignment="1" applyProtection="1">
      <alignment horizontal="center" vertical="center" wrapText="1"/>
      <protection hidden="1"/>
    </xf>
    <xf numFmtId="0" fontId="0" fillId="2" borderId="3" xfId="0" applyFill="1" applyBorder="1" applyAlignment="1" applyProtection="1">
      <alignment horizontal="center" vertical="center" wrapText="1"/>
      <protection hidden="1"/>
    </xf>
    <xf numFmtId="0" fontId="4" fillId="4" borderId="35" xfId="0" applyFont="1" applyFill="1" applyBorder="1" applyAlignment="1" applyProtection="1">
      <alignment horizontal="left" vertical="center"/>
      <protection hidden="1"/>
    </xf>
    <xf numFmtId="0" fontId="0" fillId="4" borderId="34" xfId="0" applyFill="1" applyBorder="1" applyAlignment="1" applyProtection="1">
      <alignment horizontal="left" vertical="center"/>
      <protection hidden="1"/>
    </xf>
    <xf numFmtId="0" fontId="0" fillId="4" borderId="36" xfId="0" applyFill="1" applyBorder="1" applyAlignment="1" applyProtection="1">
      <alignment horizontal="left" vertical="center"/>
      <protection hidden="1"/>
    </xf>
    <xf numFmtId="0" fontId="0" fillId="4" borderId="38" xfId="0" applyFill="1" applyBorder="1" applyAlignment="1" applyProtection="1">
      <alignment horizontal="left" vertical="center"/>
      <protection hidden="1"/>
    </xf>
    <xf numFmtId="0" fontId="0" fillId="4" borderId="1" xfId="0" applyFill="1" applyBorder="1" applyAlignment="1" applyProtection="1">
      <alignment horizontal="left" vertical="center"/>
      <protection hidden="1"/>
    </xf>
    <xf numFmtId="0" fontId="0" fillId="4" borderId="21" xfId="0" applyFill="1" applyBorder="1" applyAlignment="1" applyProtection="1">
      <alignment horizontal="left" vertical="center"/>
      <protection hidden="1"/>
    </xf>
    <xf numFmtId="0" fontId="4" fillId="4" borderId="35" xfId="0" applyFont="1" applyFill="1" applyBorder="1" applyAlignment="1" applyProtection="1">
      <alignment horizontal="center" vertical="center"/>
      <protection hidden="1"/>
    </xf>
    <xf numFmtId="0" fontId="4" fillId="4" borderId="36" xfId="0" applyFont="1" applyFill="1" applyBorder="1" applyAlignment="1" applyProtection="1">
      <alignment horizontal="center" vertical="center"/>
      <protection hidden="1"/>
    </xf>
    <xf numFmtId="0" fontId="4" fillId="4" borderId="38" xfId="0" applyFont="1" applyFill="1" applyBorder="1" applyAlignment="1" applyProtection="1">
      <alignment horizontal="center" vertical="center"/>
      <protection hidden="1"/>
    </xf>
    <xf numFmtId="0" fontId="4" fillId="4" borderId="21" xfId="0" applyFont="1" applyFill="1" applyBorder="1" applyAlignment="1" applyProtection="1">
      <alignment horizontal="center" vertical="center"/>
      <protection hidden="1"/>
    </xf>
    <xf numFmtId="4" fontId="51" fillId="9" borderId="5" xfId="2" applyNumberFormat="1" applyFont="1" applyBorder="1" applyAlignment="1" applyProtection="1">
      <protection locked="0" hidden="1"/>
    </xf>
    <xf numFmtId="0" fontId="51" fillId="9" borderId="22" xfId="2" applyFont="1" applyBorder="1" applyAlignment="1" applyProtection="1">
      <protection locked="0"/>
    </xf>
    <xf numFmtId="0" fontId="0" fillId="2" borderId="3" xfId="0" applyFill="1" applyBorder="1" applyAlignment="1" applyProtection="1">
      <alignment horizontal="center"/>
      <protection hidden="1"/>
    </xf>
    <xf numFmtId="4" fontId="4" fillId="4" borderId="5" xfId="0" applyNumberFormat="1" applyFont="1" applyFill="1" applyBorder="1" applyAlignment="1" applyProtection="1">
      <alignment horizontal="center" vertical="center"/>
      <protection hidden="1"/>
    </xf>
    <xf numFmtId="4" fontId="4" fillId="4" borderId="22" xfId="0" applyNumberFormat="1" applyFont="1" applyFill="1" applyBorder="1" applyAlignment="1" applyProtection="1">
      <alignment horizontal="center" vertical="center"/>
      <protection hidden="1"/>
    </xf>
    <xf numFmtId="0" fontId="4" fillId="6" borderId="24" xfId="0" applyFont="1" applyFill="1" applyBorder="1" applyAlignment="1" applyProtection="1">
      <alignment horizontal="center"/>
      <protection locked="0" hidden="1"/>
    </xf>
    <xf numFmtId="0" fontId="4" fillId="6" borderId="23" xfId="0" applyFont="1" applyFill="1" applyBorder="1" applyAlignment="1" applyProtection="1">
      <alignment horizontal="center"/>
      <protection locked="0" hidden="1"/>
    </xf>
    <xf numFmtId="0" fontId="4" fillId="6" borderId="8" xfId="0" applyFont="1" applyFill="1" applyBorder="1" applyAlignment="1" applyProtection="1">
      <alignment horizontal="center"/>
      <protection locked="0" hidden="1"/>
    </xf>
    <xf numFmtId="0" fontId="0" fillId="0" borderId="13" xfId="0" applyBorder="1" applyAlignment="1" applyProtection="1">
      <alignment horizontal="center" vertical="center" wrapText="1"/>
      <protection hidden="1"/>
    </xf>
    <xf numFmtId="0" fontId="0" fillId="0" borderId="21" xfId="0" applyBorder="1" applyAlignment="1" applyProtection="1">
      <alignment horizontal="center" vertical="center" wrapText="1"/>
      <protection hidden="1"/>
    </xf>
    <xf numFmtId="4" fontId="4" fillId="6" borderId="5" xfId="0" applyNumberFormat="1" applyFont="1" applyFill="1" applyBorder="1" applyAlignment="1" applyProtection="1">
      <alignment horizontal="center" vertical="center"/>
      <protection hidden="1"/>
    </xf>
    <xf numFmtId="4" fontId="4" fillId="6" borderId="22" xfId="0" applyNumberFormat="1" applyFont="1" applyFill="1" applyBorder="1" applyAlignment="1" applyProtection="1">
      <alignment horizontal="center" vertical="center"/>
      <protection hidden="1"/>
    </xf>
    <xf numFmtId="0" fontId="0" fillId="0" borderId="5" xfId="0" applyBorder="1" applyAlignment="1" applyProtection="1">
      <alignment horizontal="center" vertical="center" wrapText="1"/>
      <protection locked="0" hidden="1"/>
    </xf>
    <xf numFmtId="0" fontId="0" fillId="0" borderId="14" xfId="0" applyBorder="1" applyAlignment="1" applyProtection="1">
      <alignment horizontal="center" vertical="center" wrapText="1"/>
      <protection locked="0" hidden="1"/>
    </xf>
    <xf numFmtId="0" fontId="4" fillId="6" borderId="35" xfId="0" applyFont="1" applyFill="1" applyBorder="1" applyAlignment="1" applyProtection="1">
      <alignment horizontal="center" vertical="center"/>
      <protection hidden="1"/>
    </xf>
    <xf numFmtId="0" fontId="4" fillId="6" borderId="34" xfId="0" applyFont="1" applyFill="1" applyBorder="1" applyAlignment="1" applyProtection="1">
      <alignment horizontal="center" vertical="center"/>
      <protection hidden="1"/>
    </xf>
    <xf numFmtId="0" fontId="4" fillId="6" borderId="38" xfId="0" applyFont="1" applyFill="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4" fillId="6" borderId="36" xfId="0" applyFont="1" applyFill="1" applyBorder="1" applyAlignment="1" applyProtection="1">
      <alignment horizontal="center" vertical="center"/>
      <protection hidden="1"/>
    </xf>
    <xf numFmtId="0" fontId="4" fillId="6" borderId="21" xfId="0" applyFont="1" applyFill="1" applyBorder="1" applyAlignment="1" applyProtection="1">
      <alignment horizontal="center" vertical="center"/>
      <protection hidden="1"/>
    </xf>
    <xf numFmtId="0" fontId="0" fillId="4" borderId="35" xfId="0" applyFill="1" applyBorder="1" applyAlignment="1" applyProtection="1">
      <alignment horizontal="left"/>
      <protection locked="0" hidden="1"/>
    </xf>
    <xf numFmtId="0" fontId="0" fillId="4" borderId="34" xfId="0" applyFill="1" applyBorder="1" applyAlignment="1" applyProtection="1">
      <alignment horizontal="left"/>
      <protection locked="0" hidden="1"/>
    </xf>
    <xf numFmtId="0" fontId="0" fillId="4" borderId="36" xfId="0" applyFill="1" applyBorder="1" applyAlignment="1" applyProtection="1">
      <alignment horizontal="left"/>
      <protection locked="0" hidden="1"/>
    </xf>
    <xf numFmtId="0" fontId="0" fillId="2" borderId="27" xfId="0" applyFill="1" applyBorder="1" applyAlignment="1" applyProtection="1">
      <alignment horizontal="center" vertical="center" wrapText="1"/>
      <protection hidden="1"/>
    </xf>
    <xf numFmtId="0" fontId="0" fillId="2" borderId="29" xfId="0" applyFill="1" applyBorder="1" applyAlignment="1">
      <alignment horizontal="center" vertical="center" wrapText="1"/>
    </xf>
    <xf numFmtId="0" fontId="0" fillId="2" borderId="30" xfId="0" applyFill="1" applyBorder="1" applyAlignment="1" applyProtection="1">
      <alignment horizontal="center" vertical="center" wrapText="1"/>
      <protection hidden="1"/>
    </xf>
    <xf numFmtId="0" fontId="0" fillId="2" borderId="31" xfId="0" applyFill="1" applyBorder="1" applyAlignment="1">
      <alignment horizontal="center" vertical="center" wrapText="1"/>
    </xf>
    <xf numFmtId="0" fontId="0" fillId="2" borderId="26" xfId="0" applyFill="1" applyBorder="1" applyAlignment="1" applyProtection="1">
      <alignment horizontal="center" vertical="center" wrapText="1"/>
      <protection hidden="1"/>
    </xf>
    <xf numFmtId="0" fontId="0" fillId="2" borderId="33" xfId="0" applyFill="1" applyBorder="1" applyAlignment="1">
      <alignment horizontal="center" vertical="center" wrapText="1"/>
    </xf>
    <xf numFmtId="0" fontId="3" fillId="2" borderId="3" xfId="0" applyFont="1" applyFill="1" applyBorder="1" applyAlignment="1" applyProtection="1">
      <alignment horizontal="center" vertical="center" wrapText="1"/>
      <protection hidden="1"/>
    </xf>
    <xf numFmtId="0" fontId="2" fillId="2" borderId="32" xfId="0" applyFont="1" applyFill="1" applyBorder="1" applyAlignment="1" applyProtection="1">
      <protection hidden="1"/>
    </xf>
    <xf numFmtId="0" fontId="0" fillId="2" borderId="32" xfId="0" applyFill="1" applyBorder="1" applyAlignment="1"/>
    <xf numFmtId="0" fontId="2" fillId="2" borderId="3" xfId="0" applyFont="1" applyFill="1" applyBorder="1" applyAlignment="1" applyProtection="1">
      <alignment wrapText="1"/>
      <protection hidden="1"/>
    </xf>
    <xf numFmtId="0" fontId="0" fillId="2" borderId="3" xfId="0" applyFill="1" applyBorder="1" applyAlignment="1">
      <alignment wrapText="1"/>
    </xf>
    <xf numFmtId="0" fontId="0" fillId="2" borderId="3" xfId="0" applyFill="1" applyBorder="1" applyAlignment="1" applyProtection="1">
      <alignment horizontal="left"/>
      <protection hidden="1"/>
    </xf>
    <xf numFmtId="0" fontId="0" fillId="3" borderId="37" xfId="0" applyFill="1" applyBorder="1" applyAlignment="1" applyProtection="1">
      <alignment horizontal="center" vertical="center" wrapText="1"/>
      <protection hidden="1"/>
    </xf>
    <xf numFmtId="0" fontId="0" fillId="3" borderId="0" xfId="0" applyFill="1" applyAlignment="1" applyProtection="1">
      <alignment horizontal="center" vertical="center" wrapText="1"/>
      <protection hidden="1"/>
    </xf>
    <xf numFmtId="0" fontId="0" fillId="3" borderId="13" xfId="0" applyFill="1" applyBorder="1" applyAlignment="1" applyProtection="1">
      <alignment horizontal="center" vertical="center" wrapText="1"/>
      <protection hidden="1"/>
    </xf>
    <xf numFmtId="0" fontId="0" fillId="3" borderId="38" xfId="0" applyFill="1" applyBorder="1" applyAlignment="1" applyProtection="1">
      <alignment horizontal="center" vertical="center" wrapText="1"/>
      <protection hidden="1"/>
    </xf>
    <xf numFmtId="0" fontId="0" fillId="3" borderId="1" xfId="0" applyFill="1" applyBorder="1" applyAlignment="1" applyProtection="1">
      <alignment horizontal="center" vertical="center" wrapText="1"/>
      <protection hidden="1"/>
    </xf>
    <xf numFmtId="0" fontId="0" fillId="3" borderId="21" xfId="0" applyFill="1" applyBorder="1" applyAlignment="1" applyProtection="1">
      <alignment horizontal="center" vertical="center" wrapText="1"/>
      <protection hidden="1"/>
    </xf>
    <xf numFmtId="0" fontId="0" fillId="3" borderId="14" xfId="0" applyFill="1" applyBorder="1" applyAlignment="1" applyProtection="1">
      <alignment horizontal="center" vertical="center" wrapText="1"/>
      <protection hidden="1"/>
    </xf>
    <xf numFmtId="0" fontId="0" fillId="3" borderId="22" xfId="0" applyFill="1" applyBorder="1" applyAlignment="1" applyProtection="1">
      <alignment horizontal="center" vertical="center" wrapText="1"/>
      <protection hidden="1"/>
    </xf>
    <xf numFmtId="0" fontId="1" fillId="4" borderId="24" xfId="0" applyFont="1" applyFill="1" applyBorder="1" applyAlignment="1" applyProtection="1">
      <alignment horizontal="left"/>
      <protection locked="0" hidden="1"/>
    </xf>
    <xf numFmtId="0" fontId="2" fillId="2" borderId="27" xfId="0" applyFont="1" applyFill="1" applyBorder="1" applyAlignment="1" applyProtection="1">
      <alignment horizontal="center" vertical="center" wrapText="1"/>
      <protection hidden="1"/>
    </xf>
    <xf numFmtId="0" fontId="0" fillId="2" borderId="28" xfId="0" applyFill="1" applyBorder="1" applyAlignment="1" applyProtection="1">
      <alignment horizontal="center" vertical="center" wrapText="1"/>
      <protection hidden="1"/>
    </xf>
    <xf numFmtId="0" fontId="0" fillId="2" borderId="29" xfId="0" applyFill="1" applyBorder="1" applyAlignment="1" applyProtection="1">
      <alignment horizontal="center" vertical="center" wrapText="1"/>
      <protection hidden="1"/>
    </xf>
    <xf numFmtId="0" fontId="0" fillId="2" borderId="32" xfId="0" applyFill="1" applyBorder="1" applyAlignment="1" applyProtection="1">
      <alignment horizontal="center" vertical="center" wrapText="1"/>
      <protection hidden="1"/>
    </xf>
    <xf numFmtId="0" fontId="0" fillId="2" borderId="33" xfId="0" applyFill="1" applyBorder="1" applyAlignment="1" applyProtection="1">
      <alignment horizontal="center" vertical="center" wrapText="1"/>
      <protection hidden="1"/>
    </xf>
    <xf numFmtId="0" fontId="33" fillId="3" borderId="35" xfId="0" applyFont="1" applyFill="1" applyBorder="1" applyAlignment="1" applyProtection="1">
      <alignment horizontal="left" vertical="center" wrapText="1"/>
      <protection hidden="1"/>
    </xf>
    <xf numFmtId="0" fontId="34" fillId="3" borderId="34" xfId="0" applyFont="1" applyFill="1" applyBorder="1" applyAlignment="1">
      <alignment horizontal="left" vertical="center"/>
    </xf>
    <xf numFmtId="0" fontId="34" fillId="3" borderId="36" xfId="0" applyFont="1" applyFill="1" applyBorder="1" applyAlignment="1">
      <alignment horizontal="left" vertical="center"/>
    </xf>
    <xf numFmtId="0" fontId="34" fillId="3" borderId="38" xfId="0" applyFont="1" applyFill="1" applyBorder="1" applyAlignment="1">
      <alignment horizontal="left" vertical="center"/>
    </xf>
    <xf numFmtId="0" fontId="34" fillId="3" borderId="1" xfId="0" applyFont="1" applyFill="1" applyBorder="1" applyAlignment="1">
      <alignment horizontal="left" vertical="center"/>
    </xf>
    <xf numFmtId="0" fontId="34" fillId="3" borderId="21" xfId="0" applyFont="1" applyFill="1" applyBorder="1" applyAlignment="1">
      <alignment horizontal="left" vertical="center"/>
    </xf>
    <xf numFmtId="4" fontId="4" fillId="3" borderId="5" xfId="0" applyNumberFormat="1" applyFont="1" applyFill="1" applyBorder="1" applyAlignment="1" applyProtection="1">
      <alignment horizontal="center" vertical="center"/>
      <protection hidden="1"/>
    </xf>
    <xf numFmtId="4" fontId="4" fillId="3" borderId="22" xfId="0" applyNumberFormat="1" applyFont="1" applyFill="1" applyBorder="1" applyAlignment="1" applyProtection="1">
      <alignment horizontal="center" vertical="center"/>
      <protection hidden="1"/>
    </xf>
    <xf numFmtId="0" fontId="4" fillId="3" borderId="35" xfId="0" applyFont="1" applyFill="1" applyBorder="1" applyAlignment="1" applyProtection="1">
      <alignment horizontal="center" vertical="center" wrapText="1"/>
      <protection hidden="1"/>
    </xf>
    <xf numFmtId="0" fontId="0" fillId="3" borderId="34" xfId="0" applyFill="1" applyBorder="1" applyAlignment="1" applyProtection="1">
      <alignment horizontal="center" vertical="center" wrapText="1"/>
      <protection hidden="1"/>
    </xf>
    <xf numFmtId="0" fontId="0" fillId="3" borderId="36" xfId="0" applyFill="1" applyBorder="1" applyAlignment="1" applyProtection="1">
      <alignment horizontal="center" vertical="center" wrapText="1"/>
      <protection hidden="1"/>
    </xf>
    <xf numFmtId="0" fontId="4" fillId="3" borderId="35" xfId="0" applyFont="1" applyFill="1" applyBorder="1" applyAlignment="1" applyProtection="1">
      <alignment horizontal="left" vertical="center"/>
      <protection hidden="1"/>
    </xf>
    <xf numFmtId="0" fontId="4" fillId="3" borderId="34" xfId="0" applyFont="1" applyFill="1" applyBorder="1" applyAlignment="1" applyProtection="1">
      <alignment horizontal="left" vertical="center"/>
      <protection hidden="1"/>
    </xf>
    <xf numFmtId="0" fontId="4" fillId="3" borderId="36" xfId="0" applyFont="1" applyFill="1" applyBorder="1" applyAlignment="1" applyProtection="1">
      <alignment horizontal="left" vertical="center"/>
      <protection hidden="1"/>
    </xf>
    <xf numFmtId="0" fontId="4" fillId="3" borderId="38" xfId="0" applyFont="1" applyFill="1" applyBorder="1" applyAlignment="1" applyProtection="1">
      <alignment horizontal="left" vertical="center"/>
      <protection hidden="1"/>
    </xf>
    <xf numFmtId="0" fontId="4" fillId="3" borderId="1" xfId="0" applyFont="1" applyFill="1" applyBorder="1" applyAlignment="1" applyProtection="1">
      <alignment horizontal="left" vertical="center"/>
      <protection hidden="1"/>
    </xf>
    <xf numFmtId="0" fontId="4" fillId="3" borderId="21" xfId="0" applyFont="1" applyFill="1" applyBorder="1" applyAlignment="1" applyProtection="1">
      <alignment horizontal="left" vertical="center"/>
      <protection hidden="1"/>
    </xf>
    <xf numFmtId="0" fontId="0" fillId="3" borderId="5" xfId="0" applyFill="1" applyBorder="1" applyAlignment="1" applyProtection="1">
      <alignment horizontal="center" vertical="center" wrapText="1"/>
      <protection hidden="1"/>
    </xf>
    <xf numFmtId="0" fontId="0" fillId="3" borderId="35" xfId="0" applyFill="1" applyBorder="1" applyAlignment="1" applyProtection="1">
      <alignment horizontal="center" vertical="center"/>
      <protection hidden="1"/>
    </xf>
    <xf numFmtId="0" fontId="0" fillId="3" borderId="34" xfId="0" applyFill="1" applyBorder="1" applyAlignment="1" applyProtection="1">
      <alignment horizontal="center" vertical="center"/>
      <protection hidden="1"/>
    </xf>
    <xf numFmtId="0" fontId="0" fillId="3" borderId="36" xfId="0" applyFill="1" applyBorder="1" applyAlignment="1" applyProtection="1">
      <alignment horizontal="center" vertical="center"/>
      <protection hidden="1"/>
    </xf>
    <xf numFmtId="0" fontId="0" fillId="3" borderId="38" xfId="0" applyFill="1" applyBorder="1" applyAlignment="1" applyProtection="1">
      <alignment horizontal="center" vertical="center"/>
      <protection hidden="1"/>
    </xf>
    <xf numFmtId="0" fontId="0" fillId="3" borderId="1" xfId="0" applyFill="1" applyBorder="1" applyAlignment="1" applyProtection="1">
      <alignment horizontal="center" vertical="center"/>
      <protection hidden="1"/>
    </xf>
    <xf numFmtId="0" fontId="0" fillId="3" borderId="21" xfId="0" applyFill="1" applyBorder="1" applyAlignment="1" applyProtection="1">
      <alignment horizontal="center" vertical="center"/>
      <protection hidden="1"/>
    </xf>
    <xf numFmtId="0" fontId="0" fillId="2" borderId="3" xfId="0" applyFill="1" applyBorder="1" applyAlignment="1" applyProtection="1">
      <protection hidden="1"/>
    </xf>
    <xf numFmtId="0" fontId="0" fillId="2" borderId="3" xfId="0" applyFill="1" applyBorder="1" applyAlignment="1"/>
    <xf numFmtId="0" fontId="1" fillId="3" borderId="27" xfId="0" applyFont="1" applyFill="1" applyBorder="1" applyAlignment="1" applyProtection="1">
      <alignment vertical="top" wrapText="1"/>
      <protection hidden="1"/>
    </xf>
    <xf numFmtId="0" fontId="0" fillId="3" borderId="28" xfId="0" applyFill="1" applyBorder="1" applyAlignment="1">
      <alignment wrapText="1"/>
    </xf>
    <xf numFmtId="0" fontId="0" fillId="3" borderId="29" xfId="0" applyFill="1" applyBorder="1" applyAlignment="1">
      <alignment wrapText="1"/>
    </xf>
    <xf numFmtId="0" fontId="0" fillId="3" borderId="30" xfId="0" applyFill="1" applyBorder="1" applyAlignment="1">
      <alignment wrapText="1"/>
    </xf>
    <xf numFmtId="0" fontId="0" fillId="3" borderId="0" xfId="0" applyFill="1" applyAlignment="1">
      <alignment wrapText="1"/>
    </xf>
    <xf numFmtId="0" fontId="0" fillId="3" borderId="31" xfId="0" applyFill="1" applyBorder="1" applyAlignment="1">
      <alignment wrapText="1"/>
    </xf>
    <xf numFmtId="0" fontId="0" fillId="3" borderId="26" xfId="0" applyFill="1" applyBorder="1" applyAlignment="1">
      <alignment wrapText="1"/>
    </xf>
    <xf numFmtId="0" fontId="0" fillId="3" borderId="32" xfId="0" applyFill="1" applyBorder="1" applyAlignment="1">
      <alignment wrapText="1"/>
    </xf>
    <xf numFmtId="0" fontId="0" fillId="3" borderId="33" xfId="0" applyFill="1" applyBorder="1" applyAlignment="1">
      <alignment wrapText="1"/>
    </xf>
    <xf numFmtId="0" fontId="4" fillId="3" borderId="35" xfId="0" applyFont="1" applyFill="1" applyBorder="1" applyAlignment="1" applyProtection="1">
      <alignment horizontal="center"/>
      <protection hidden="1"/>
    </xf>
    <xf numFmtId="0" fontId="4" fillId="3" borderId="34" xfId="0" applyFont="1" applyFill="1" applyBorder="1" applyAlignment="1" applyProtection="1">
      <alignment horizontal="center"/>
      <protection hidden="1"/>
    </xf>
    <xf numFmtId="0" fontId="4" fillId="3" borderId="36" xfId="0" applyFont="1" applyFill="1" applyBorder="1" applyAlignment="1" applyProtection="1">
      <alignment horizontal="center"/>
      <protection hidden="1"/>
    </xf>
    <xf numFmtId="0" fontId="9" fillId="3" borderId="35" xfId="0" applyFont="1" applyFill="1" applyBorder="1" applyAlignment="1" applyProtection="1">
      <alignment horizontal="center" vertical="center" wrapText="1"/>
      <protection hidden="1"/>
    </xf>
    <xf numFmtId="0" fontId="9" fillId="3" borderId="36" xfId="0" applyFont="1" applyFill="1" applyBorder="1" applyAlignment="1" applyProtection="1">
      <alignment horizontal="center" vertical="center" wrapText="1"/>
      <protection hidden="1"/>
    </xf>
    <xf numFmtId="0" fontId="9" fillId="3" borderId="37" xfId="0" applyFont="1" applyFill="1" applyBorder="1" applyAlignment="1" applyProtection="1">
      <alignment horizontal="center" vertical="center" wrapText="1"/>
      <protection hidden="1"/>
    </xf>
    <xf numFmtId="0" fontId="9" fillId="3" borderId="13" xfId="0" applyFont="1" applyFill="1" applyBorder="1" applyAlignment="1" applyProtection="1">
      <alignment horizontal="center" vertical="center" wrapText="1"/>
      <protection hidden="1"/>
    </xf>
    <xf numFmtId="0" fontId="9" fillId="3" borderId="38" xfId="0" applyFont="1" applyFill="1" applyBorder="1" applyAlignment="1" applyProtection="1">
      <alignment horizontal="center" vertical="center" wrapText="1"/>
      <protection hidden="1"/>
    </xf>
    <xf numFmtId="0" fontId="9" fillId="3" borderId="21" xfId="0" applyFont="1" applyFill="1" applyBorder="1" applyAlignment="1" applyProtection="1">
      <alignment horizontal="center" vertical="center" wrapText="1"/>
      <protection hidden="1"/>
    </xf>
    <xf numFmtId="0" fontId="4" fillId="3" borderId="24" xfId="0" applyFont="1" applyFill="1" applyBorder="1" applyAlignment="1" applyProtection="1">
      <alignment horizontal="left" vertical="center"/>
      <protection hidden="1"/>
    </xf>
    <xf numFmtId="0" fontId="4" fillId="3" borderId="23" xfId="0" applyFont="1" applyFill="1" applyBorder="1" applyAlignment="1" applyProtection="1">
      <alignment horizontal="left" vertical="center"/>
      <protection hidden="1"/>
    </xf>
    <xf numFmtId="0" fontId="4" fillId="3" borderId="8" xfId="0" applyFont="1" applyFill="1" applyBorder="1" applyAlignment="1" applyProtection="1">
      <alignment horizontal="left" vertical="center"/>
      <protection hidden="1"/>
    </xf>
    <xf numFmtId="0" fontId="5" fillId="2" borderId="3" xfId="0" applyFont="1" applyFill="1" applyBorder="1" applyAlignment="1" applyProtection="1">
      <alignment horizontal="left" vertical="center" wrapText="1"/>
      <protection hidden="1"/>
    </xf>
    <xf numFmtId="0" fontId="1" fillId="2" borderId="3" xfId="0" applyFont="1" applyFill="1" applyBorder="1" applyAlignment="1" applyProtection="1">
      <alignment horizontal="center" vertical="center" wrapText="1" shrinkToFit="1"/>
      <protection hidden="1"/>
    </xf>
    <xf numFmtId="0" fontId="0" fillId="2" borderId="3" xfId="0" applyFill="1" applyBorder="1" applyAlignment="1" applyProtection="1">
      <alignment horizontal="center" vertical="center" wrapText="1" shrinkToFit="1"/>
      <protection hidden="1"/>
    </xf>
    <xf numFmtId="0" fontId="1" fillId="2" borderId="3" xfId="0" applyFont="1" applyFill="1" applyBorder="1" applyAlignment="1" applyProtection="1">
      <alignment horizontal="center" vertical="center"/>
      <protection hidden="1"/>
    </xf>
    <xf numFmtId="0" fontId="0" fillId="2" borderId="3" xfId="0" applyFill="1" applyBorder="1" applyAlignment="1" applyProtection="1">
      <alignment horizontal="center" vertical="center"/>
      <protection hidden="1"/>
    </xf>
    <xf numFmtId="49" fontId="0" fillId="2" borderId="0" xfId="0" applyNumberFormat="1" applyFill="1" applyAlignment="1" applyProtection="1">
      <alignment wrapText="1"/>
      <protection hidden="1"/>
    </xf>
    <xf numFmtId="0" fontId="28" fillId="8" borderId="35" xfId="0" applyFont="1" applyFill="1" applyBorder="1" applyAlignment="1" applyProtection="1">
      <alignment horizontal="left" vertical="center"/>
      <protection hidden="1"/>
    </xf>
    <xf numFmtId="0" fontId="28" fillId="8" borderId="34" xfId="0" applyFont="1" applyFill="1" applyBorder="1" applyAlignment="1" applyProtection="1">
      <alignment horizontal="left" vertical="center"/>
      <protection hidden="1"/>
    </xf>
    <xf numFmtId="0" fontId="28" fillId="8" borderId="36" xfId="0" applyFont="1" applyFill="1" applyBorder="1" applyAlignment="1" applyProtection="1">
      <alignment horizontal="left" vertical="center"/>
      <protection hidden="1"/>
    </xf>
    <xf numFmtId="0" fontId="28" fillId="8" borderId="38" xfId="0" applyFont="1" applyFill="1" applyBorder="1" applyAlignment="1" applyProtection="1">
      <alignment horizontal="left" vertical="center"/>
      <protection hidden="1"/>
    </xf>
    <xf numFmtId="0" fontId="28" fillId="8" borderId="1" xfId="0" applyFont="1" applyFill="1" applyBorder="1" applyAlignment="1" applyProtection="1">
      <alignment horizontal="left" vertical="center"/>
      <protection hidden="1"/>
    </xf>
    <xf numFmtId="0" fontId="28" fillId="8" borderId="21" xfId="0" applyFont="1" applyFill="1" applyBorder="1" applyAlignment="1" applyProtection="1">
      <alignment horizontal="left" vertical="center"/>
      <protection hidden="1"/>
    </xf>
    <xf numFmtId="0" fontId="4" fillId="10" borderId="24" xfId="0" applyFont="1" applyFill="1" applyBorder="1" applyAlignment="1" applyProtection="1">
      <alignment horizontal="left" vertical="center"/>
      <protection hidden="1"/>
    </xf>
    <xf numFmtId="0" fontId="4" fillId="10" borderId="23" xfId="0" applyFont="1" applyFill="1" applyBorder="1" applyAlignment="1" applyProtection="1">
      <alignment horizontal="left" vertical="center"/>
      <protection hidden="1"/>
    </xf>
    <xf numFmtId="0" fontId="28" fillId="10" borderId="24" xfId="0" applyFont="1" applyFill="1" applyBorder="1" applyAlignment="1" applyProtection="1">
      <alignment horizontal="left" vertical="center"/>
      <protection hidden="1"/>
    </xf>
    <xf numFmtId="0" fontId="28" fillId="10" borderId="23" xfId="0" applyFont="1" applyFill="1" applyBorder="1" applyAlignment="1" applyProtection="1">
      <alignment horizontal="left" vertical="center"/>
      <protection hidden="1"/>
    </xf>
    <xf numFmtId="0" fontId="28" fillId="10" borderId="8" xfId="0" applyFont="1" applyFill="1" applyBorder="1" applyAlignment="1" applyProtection="1">
      <alignment horizontal="left" vertical="center"/>
      <protection hidden="1"/>
    </xf>
    <xf numFmtId="0" fontId="4" fillId="10" borderId="35" xfId="0" applyFont="1" applyFill="1" applyBorder="1" applyAlignment="1" applyProtection="1">
      <alignment horizontal="left" vertical="center"/>
      <protection hidden="1"/>
    </xf>
    <xf numFmtId="0" fontId="4" fillId="10" borderId="34" xfId="0" applyFont="1" applyFill="1" applyBorder="1" applyAlignment="1" applyProtection="1">
      <alignment horizontal="left" vertical="center"/>
      <protection hidden="1"/>
    </xf>
    <xf numFmtId="0" fontId="4" fillId="10" borderId="36" xfId="0" applyFont="1" applyFill="1" applyBorder="1" applyAlignment="1" applyProtection="1">
      <alignment horizontal="left" vertical="center"/>
      <protection hidden="1"/>
    </xf>
    <xf numFmtId="0" fontId="4" fillId="10" borderId="38" xfId="0" applyFont="1" applyFill="1" applyBorder="1" applyAlignment="1" applyProtection="1">
      <alignment horizontal="left" vertical="center"/>
      <protection hidden="1"/>
    </xf>
    <xf numFmtId="0" fontId="4" fillId="10" borderId="1" xfId="0" applyFont="1" applyFill="1" applyBorder="1" applyAlignment="1" applyProtection="1">
      <alignment horizontal="left" vertical="center"/>
      <protection hidden="1"/>
    </xf>
    <xf numFmtId="0" fontId="4" fillId="10" borderId="21" xfId="0" applyFont="1" applyFill="1" applyBorder="1" applyAlignment="1" applyProtection="1">
      <alignment horizontal="left" vertical="center"/>
      <protection hidden="1"/>
    </xf>
    <xf numFmtId="49" fontId="0" fillId="2" borderId="31" xfId="0" applyNumberFormat="1" applyFill="1" applyBorder="1" applyAlignment="1" applyProtection="1">
      <alignment wrapText="1"/>
      <protection hidden="1"/>
    </xf>
    <xf numFmtId="0" fontId="28" fillId="8" borderId="35" xfId="0" applyFont="1" applyFill="1" applyBorder="1" applyAlignment="1" applyProtection="1">
      <alignment horizontal="center" vertical="center"/>
      <protection hidden="1"/>
    </xf>
    <xf numFmtId="0" fontId="28" fillId="8" borderId="36" xfId="0" applyFont="1" applyFill="1" applyBorder="1" applyAlignment="1" applyProtection="1">
      <alignment horizontal="center" vertical="center"/>
      <protection hidden="1"/>
    </xf>
    <xf numFmtId="0" fontId="28" fillId="8" borderId="38" xfId="0" applyFont="1" applyFill="1" applyBorder="1" applyAlignment="1" applyProtection="1">
      <alignment horizontal="center" vertical="center"/>
      <protection hidden="1"/>
    </xf>
    <xf numFmtId="0" fontId="28" fillId="8" borderId="21" xfId="0" applyFont="1" applyFill="1" applyBorder="1" applyAlignment="1" applyProtection="1">
      <alignment horizontal="center" vertical="center"/>
      <protection hidden="1"/>
    </xf>
    <xf numFmtId="4" fontId="52" fillId="8" borderId="35" xfId="0" applyNumberFormat="1" applyFont="1" applyFill="1" applyBorder="1" applyAlignment="1" applyProtection="1">
      <alignment horizontal="center" vertical="center"/>
      <protection hidden="1"/>
    </xf>
    <xf numFmtId="4" fontId="52" fillId="8" borderId="36" xfId="0" applyNumberFormat="1" applyFont="1" applyFill="1" applyBorder="1" applyAlignment="1" applyProtection="1">
      <alignment horizontal="center" vertical="center"/>
      <protection hidden="1"/>
    </xf>
    <xf numFmtId="4" fontId="52" fillId="8" borderId="38" xfId="0" applyNumberFormat="1" applyFont="1" applyFill="1" applyBorder="1" applyAlignment="1" applyProtection="1">
      <alignment horizontal="center" vertical="center"/>
      <protection hidden="1"/>
    </xf>
    <xf numFmtId="4" fontId="52" fillId="8" borderId="21" xfId="0" applyNumberFormat="1" applyFont="1" applyFill="1" applyBorder="1" applyAlignment="1" applyProtection="1">
      <alignment horizontal="center" vertical="center"/>
      <protection hidden="1"/>
    </xf>
    <xf numFmtId="168" fontId="4" fillId="10" borderId="24" xfId="0" applyNumberFormat="1" applyFont="1" applyFill="1" applyBorder="1" applyAlignment="1" applyProtection="1">
      <alignment horizontal="center" vertical="center"/>
      <protection hidden="1"/>
    </xf>
    <xf numFmtId="168" fontId="4" fillId="10" borderId="8" xfId="0" applyNumberFormat="1" applyFont="1" applyFill="1" applyBorder="1" applyAlignment="1" applyProtection="1">
      <alignment horizontal="center" vertical="center"/>
      <protection hidden="1"/>
    </xf>
    <xf numFmtId="4" fontId="49" fillId="10" borderId="24" xfId="0" applyNumberFormat="1" applyFont="1" applyFill="1" applyBorder="1" applyAlignment="1" applyProtection="1">
      <alignment horizontal="center" vertical="center"/>
      <protection hidden="1"/>
    </xf>
    <xf numFmtId="4" fontId="49" fillId="10" borderId="8" xfId="0" applyNumberFormat="1" applyFont="1" applyFill="1" applyBorder="1" applyAlignment="1" applyProtection="1">
      <alignment horizontal="center" vertical="center"/>
      <protection hidden="1"/>
    </xf>
    <xf numFmtId="4" fontId="52" fillId="10" borderId="24" xfId="0" applyNumberFormat="1" applyFont="1" applyFill="1" applyBorder="1" applyAlignment="1" applyProtection="1">
      <alignment horizontal="center" vertical="center"/>
      <protection hidden="1"/>
    </xf>
    <xf numFmtId="4" fontId="54" fillId="10" borderId="8" xfId="0" applyNumberFormat="1" applyFont="1" applyFill="1" applyBorder="1" applyAlignment="1" applyProtection="1">
      <alignment horizontal="center" vertical="center"/>
      <protection hidden="1"/>
    </xf>
    <xf numFmtId="4" fontId="52" fillId="10" borderId="8" xfId="0" applyNumberFormat="1" applyFont="1" applyFill="1" applyBorder="1" applyAlignment="1" applyProtection="1">
      <alignment horizontal="center" vertical="center"/>
      <protection hidden="1"/>
    </xf>
    <xf numFmtId="4" fontId="49" fillId="10" borderId="35" xfId="0" applyNumberFormat="1" applyFont="1" applyFill="1" applyBorder="1" applyAlignment="1" applyProtection="1">
      <alignment horizontal="center" vertical="center"/>
      <protection hidden="1"/>
    </xf>
    <xf numFmtId="0" fontId="53" fillId="0" borderId="36" xfId="0" applyFont="1" applyBorder="1" applyAlignment="1">
      <alignment horizontal="center" vertical="center"/>
    </xf>
    <xf numFmtId="0" fontId="4" fillId="10" borderId="35" xfId="0" applyFont="1" applyFill="1" applyBorder="1" applyAlignment="1" applyProtection="1">
      <alignment horizontal="center" vertical="center"/>
      <protection hidden="1"/>
    </xf>
    <xf numFmtId="0" fontId="4" fillId="10" borderId="36" xfId="0" applyFont="1" applyFill="1" applyBorder="1" applyAlignment="1" applyProtection="1">
      <alignment horizontal="center" vertical="center"/>
      <protection hidden="1"/>
    </xf>
    <xf numFmtId="0" fontId="4" fillId="10" borderId="37" xfId="0" applyFont="1" applyFill="1" applyBorder="1" applyAlignment="1" applyProtection="1">
      <alignment horizontal="center" vertical="center"/>
      <protection hidden="1"/>
    </xf>
    <xf numFmtId="0" fontId="4" fillId="10" borderId="13" xfId="0" applyFont="1" applyFill="1" applyBorder="1" applyAlignment="1" applyProtection="1">
      <alignment horizontal="center" vertical="center"/>
      <protection hidden="1"/>
    </xf>
    <xf numFmtId="4" fontId="49" fillId="10" borderId="36" xfId="0" applyNumberFormat="1" applyFont="1" applyFill="1" applyBorder="1" applyAlignment="1" applyProtection="1">
      <alignment horizontal="center" vertical="center"/>
      <protection hidden="1"/>
    </xf>
    <xf numFmtId="4" fontId="49" fillId="10" borderId="38" xfId="0" applyNumberFormat="1" applyFont="1" applyFill="1" applyBorder="1" applyAlignment="1" applyProtection="1">
      <alignment horizontal="center" vertical="center"/>
      <protection hidden="1"/>
    </xf>
    <xf numFmtId="4" fontId="49" fillId="10" borderId="21" xfId="0" applyNumberFormat="1" applyFont="1" applyFill="1" applyBorder="1" applyAlignment="1" applyProtection="1">
      <alignment horizontal="center" vertical="center"/>
      <protection hidden="1"/>
    </xf>
    <xf numFmtId="0" fontId="28" fillId="10" borderId="35" xfId="0" applyFont="1" applyFill="1" applyBorder="1" applyAlignment="1" applyProtection="1">
      <alignment horizontal="left" vertical="center"/>
      <protection hidden="1"/>
    </xf>
    <xf numFmtId="0" fontId="28" fillId="10" borderId="34" xfId="0" applyFont="1" applyFill="1" applyBorder="1" applyAlignment="1" applyProtection="1">
      <alignment horizontal="left" vertical="center"/>
      <protection hidden="1"/>
    </xf>
    <xf numFmtId="0" fontId="28" fillId="10" borderId="36" xfId="0" applyFont="1" applyFill="1" applyBorder="1" applyAlignment="1" applyProtection="1">
      <alignment horizontal="left" vertical="center"/>
      <protection hidden="1"/>
    </xf>
    <xf numFmtId="0" fontId="28" fillId="10" borderId="38" xfId="0" applyFont="1" applyFill="1" applyBorder="1" applyAlignment="1" applyProtection="1">
      <alignment horizontal="left" vertical="center"/>
      <protection hidden="1"/>
    </xf>
    <xf numFmtId="0" fontId="28" fillId="10" borderId="1" xfId="0" applyFont="1" applyFill="1" applyBorder="1" applyAlignment="1" applyProtection="1">
      <alignment horizontal="left" vertical="center"/>
      <protection hidden="1"/>
    </xf>
    <xf numFmtId="0" fontId="28" fillId="10" borderId="21" xfId="0" applyFont="1" applyFill="1" applyBorder="1" applyAlignment="1" applyProtection="1">
      <alignment horizontal="left" vertical="center"/>
      <protection hidden="1"/>
    </xf>
    <xf numFmtId="0" fontId="4" fillId="10" borderId="38" xfId="0" applyFont="1" applyFill="1" applyBorder="1" applyAlignment="1" applyProtection="1">
      <alignment horizontal="center" vertical="center"/>
      <protection hidden="1"/>
    </xf>
    <xf numFmtId="0" fontId="4" fillId="10" borderId="21" xfId="0" applyFont="1" applyFill="1" applyBorder="1" applyAlignment="1" applyProtection="1">
      <alignment horizontal="center" vertical="center"/>
      <protection hidden="1"/>
    </xf>
    <xf numFmtId="9" fontId="4" fillId="10" borderId="24" xfId="5" applyFont="1" applyFill="1" applyBorder="1" applyAlignment="1" applyProtection="1">
      <alignment horizontal="center" vertical="center"/>
      <protection hidden="1"/>
    </xf>
    <xf numFmtId="9" fontId="1" fillId="10" borderId="8" xfId="5" applyFont="1" applyFill="1" applyBorder="1" applyAlignment="1">
      <alignment horizontal="center" vertical="center"/>
    </xf>
    <xf numFmtId="4" fontId="49" fillId="18" borderId="35" xfId="0" applyNumberFormat="1" applyFont="1" applyFill="1" applyBorder="1" applyAlignment="1" applyProtection="1">
      <alignment horizontal="center" vertical="center"/>
      <protection locked="0" hidden="1"/>
    </xf>
    <xf numFmtId="4" fontId="49" fillId="18" borderId="36" xfId="0" applyNumberFormat="1" applyFont="1" applyFill="1" applyBorder="1" applyAlignment="1" applyProtection="1">
      <alignment horizontal="center" vertical="center"/>
      <protection locked="0" hidden="1"/>
    </xf>
    <xf numFmtId="0" fontId="53" fillId="0" borderId="38" xfId="0" applyFont="1" applyBorder="1" applyAlignment="1" applyProtection="1">
      <alignment horizontal="center" vertical="center"/>
      <protection locked="0"/>
    </xf>
    <xf numFmtId="0" fontId="53" fillId="0" borderId="21" xfId="0" applyFont="1" applyBorder="1" applyAlignment="1" applyProtection="1">
      <alignment horizontal="center" vertical="center"/>
      <protection locked="0"/>
    </xf>
    <xf numFmtId="0" fontId="42" fillId="10" borderId="55" xfId="0" applyFont="1" applyFill="1" applyBorder="1" applyAlignment="1" applyProtection="1">
      <alignment horizontal="center" vertical="center" wrapText="1"/>
      <protection hidden="1"/>
    </xf>
    <xf numFmtId="0" fontId="15" fillId="0" borderId="51" xfId="0" applyFont="1" applyBorder="1" applyAlignment="1">
      <alignment horizontal="center" vertical="center"/>
    </xf>
    <xf numFmtId="0" fontId="15" fillId="0" borderId="45" xfId="0" applyFont="1" applyBorder="1" applyAlignment="1">
      <alignment horizontal="center" vertical="center"/>
    </xf>
    <xf numFmtId="9" fontId="42" fillId="10" borderId="11" xfId="5" applyFont="1" applyFill="1" applyBorder="1" applyAlignment="1" applyProtection="1">
      <alignment horizontal="center" vertical="center"/>
      <protection hidden="1"/>
    </xf>
    <xf numFmtId="9" fontId="42" fillId="10" borderId="45" xfId="5" applyFont="1" applyFill="1" applyBorder="1" applyAlignment="1" applyProtection="1">
      <alignment horizontal="center" vertical="center"/>
      <protection hidden="1"/>
    </xf>
    <xf numFmtId="4" fontId="42" fillId="10" borderId="24" xfId="0" applyNumberFormat="1" applyFont="1" applyFill="1" applyBorder="1" applyAlignment="1" applyProtection="1">
      <alignment horizontal="center" vertical="center"/>
      <protection hidden="1"/>
    </xf>
    <xf numFmtId="4" fontId="42" fillId="10" borderId="8" xfId="0" applyNumberFormat="1" applyFont="1" applyFill="1" applyBorder="1" applyAlignment="1" applyProtection="1">
      <alignment horizontal="center" vertical="center"/>
      <protection hidden="1"/>
    </xf>
    <xf numFmtId="9" fontId="4" fillId="18" borderId="24" xfId="5" applyFont="1" applyFill="1" applyBorder="1" applyAlignment="1" applyProtection="1">
      <alignment horizontal="center" vertical="center"/>
      <protection locked="0" hidden="1"/>
    </xf>
    <xf numFmtId="9" fontId="4" fillId="18" borderId="8" xfId="5" applyFont="1" applyFill="1" applyBorder="1" applyAlignment="1" applyProtection="1">
      <alignment horizontal="center" vertical="center"/>
      <protection locked="0" hidden="1"/>
    </xf>
    <xf numFmtId="0" fontId="53" fillId="0" borderId="38" xfId="0" applyFont="1" applyBorder="1" applyAlignment="1">
      <alignment horizontal="center" vertical="center"/>
    </xf>
    <xf numFmtId="0" fontId="53" fillId="0" borderId="21" xfId="0" applyFont="1" applyBorder="1" applyAlignment="1">
      <alignment horizontal="center" vertical="center"/>
    </xf>
    <xf numFmtId="0" fontId="4" fillId="10" borderId="24" xfId="0" applyFont="1" applyFill="1" applyBorder="1" applyAlignment="1" applyProtection="1">
      <alignment horizontal="center" vertical="center"/>
      <protection locked="0" hidden="1"/>
    </xf>
    <xf numFmtId="0" fontId="4" fillId="10" borderId="8" xfId="0" applyFont="1" applyFill="1" applyBorder="1" applyAlignment="1" applyProtection="1">
      <alignment horizontal="center" vertical="center"/>
      <protection locked="0" hidden="1"/>
    </xf>
    <xf numFmtId="0" fontId="4" fillId="10" borderId="35" xfId="0" applyFont="1" applyFill="1" applyBorder="1" applyAlignment="1" applyProtection="1">
      <alignment horizontal="left" vertical="center" wrapText="1"/>
      <protection hidden="1"/>
    </xf>
    <xf numFmtId="1" fontId="4" fillId="18" borderId="46" xfId="0" applyNumberFormat="1" applyFont="1" applyFill="1" applyBorder="1" applyAlignment="1" applyProtection="1">
      <alignment horizontal="center" vertical="center"/>
      <protection locked="0" hidden="1"/>
    </xf>
    <xf numFmtId="1" fontId="0" fillId="18" borderId="56" xfId="0" applyNumberFormat="1" applyFill="1" applyBorder="1" applyAlignment="1" applyProtection="1">
      <alignment horizontal="center" vertical="center"/>
      <protection locked="0"/>
    </xf>
    <xf numFmtId="0" fontId="4" fillId="23" borderId="35" xfId="0" applyFont="1" applyFill="1" applyBorder="1" applyAlignment="1" applyProtection="1">
      <alignment horizontal="left" vertical="center"/>
      <protection hidden="1"/>
    </xf>
    <xf numFmtId="0" fontId="4" fillId="23" borderId="34" xfId="0" applyFont="1" applyFill="1" applyBorder="1" applyAlignment="1" applyProtection="1">
      <alignment horizontal="left" vertical="center"/>
      <protection hidden="1"/>
    </xf>
    <xf numFmtId="0" fontId="4" fillId="23" borderId="36" xfId="0" applyFont="1" applyFill="1" applyBorder="1" applyAlignment="1" applyProtection="1">
      <alignment horizontal="left" vertical="center"/>
      <protection hidden="1"/>
    </xf>
    <xf numFmtId="0" fontId="4" fillId="23" borderId="38" xfId="0" applyFont="1" applyFill="1" applyBorder="1" applyAlignment="1" applyProtection="1">
      <alignment horizontal="left" vertical="center"/>
      <protection hidden="1"/>
    </xf>
    <xf numFmtId="0" fontId="4" fillId="23" borderId="1" xfId="0" applyFont="1" applyFill="1" applyBorder="1" applyAlignment="1" applyProtection="1">
      <alignment horizontal="left" vertical="center"/>
      <protection hidden="1"/>
    </xf>
    <xf numFmtId="0" fontId="4" fillId="23" borderId="21" xfId="0" applyFont="1" applyFill="1" applyBorder="1" applyAlignment="1" applyProtection="1">
      <alignment horizontal="left" vertical="center"/>
      <protection hidden="1"/>
    </xf>
    <xf numFmtId="0" fontId="4" fillId="23" borderId="35" xfId="0" applyFont="1" applyFill="1" applyBorder="1" applyAlignment="1" applyProtection="1">
      <alignment horizontal="center" vertical="center"/>
      <protection hidden="1"/>
    </xf>
    <xf numFmtId="0" fontId="4" fillId="23" borderId="36" xfId="0" applyFont="1" applyFill="1" applyBorder="1" applyAlignment="1" applyProtection="1">
      <alignment horizontal="center" vertical="center"/>
      <protection hidden="1"/>
    </xf>
    <xf numFmtId="0" fontId="4" fillId="23" borderId="38" xfId="0" applyFont="1" applyFill="1" applyBorder="1" applyAlignment="1" applyProtection="1">
      <alignment horizontal="center" vertical="center"/>
      <protection hidden="1"/>
    </xf>
    <xf numFmtId="0" fontId="4" fillId="23" borderId="21" xfId="0" applyFont="1" applyFill="1" applyBorder="1" applyAlignment="1" applyProtection="1">
      <alignment horizontal="center" vertical="center"/>
      <protection hidden="1"/>
    </xf>
    <xf numFmtId="4" fontId="49" fillId="23" borderId="35" xfId="0" applyNumberFormat="1" applyFont="1" applyFill="1" applyBorder="1" applyAlignment="1" applyProtection="1">
      <alignment horizontal="center" vertical="center"/>
      <protection hidden="1"/>
    </xf>
    <xf numFmtId="4" fontId="49" fillId="23" borderId="36" xfId="0" applyNumberFormat="1" applyFont="1" applyFill="1" applyBorder="1" applyAlignment="1" applyProtection="1">
      <alignment horizontal="center" vertical="center"/>
      <protection hidden="1"/>
    </xf>
    <xf numFmtId="4" fontId="49" fillId="23" borderId="38" xfId="0" applyNumberFormat="1" applyFont="1" applyFill="1" applyBorder="1" applyAlignment="1" applyProtection="1">
      <alignment horizontal="center" vertical="center"/>
      <protection hidden="1"/>
    </xf>
    <xf numFmtId="4" fontId="49" fillId="23" borderId="21" xfId="0" applyNumberFormat="1" applyFont="1" applyFill="1" applyBorder="1" applyAlignment="1" applyProtection="1">
      <alignment horizontal="center" vertical="center"/>
      <protection hidden="1"/>
    </xf>
    <xf numFmtId="4" fontId="4" fillId="8" borderId="4" xfId="0" applyNumberFormat="1" applyFont="1" applyFill="1" applyBorder="1" applyAlignment="1" applyProtection="1">
      <alignment horizontal="center" vertical="center"/>
      <protection hidden="1"/>
    </xf>
    <xf numFmtId="4" fontId="4" fillId="8" borderId="25" xfId="0" applyNumberFormat="1" applyFont="1" applyFill="1" applyBorder="1" applyAlignment="1" applyProtection="1">
      <alignment horizontal="center" vertical="center"/>
      <protection hidden="1"/>
    </xf>
    <xf numFmtId="0" fontId="68" fillId="8" borderId="35" xfId="0" applyFont="1" applyFill="1" applyBorder="1" applyAlignment="1" applyProtection="1">
      <alignment horizontal="center"/>
      <protection hidden="1"/>
    </xf>
    <xf numFmtId="0" fontId="68" fillId="8" borderId="34" xfId="0" applyFont="1" applyFill="1" applyBorder="1" applyAlignment="1" applyProtection="1">
      <alignment horizontal="center"/>
      <protection hidden="1"/>
    </xf>
    <xf numFmtId="0" fontId="68" fillId="8" borderId="36" xfId="0" applyFont="1" applyFill="1" applyBorder="1" applyAlignment="1" applyProtection="1">
      <alignment horizontal="center"/>
      <protection hidden="1"/>
    </xf>
    <xf numFmtId="0" fontId="66" fillId="8" borderId="38" xfId="0" applyFont="1" applyFill="1" applyBorder="1" applyAlignment="1" applyProtection="1">
      <alignment horizontal="center"/>
      <protection hidden="1"/>
    </xf>
    <xf numFmtId="0" fontId="66" fillId="8" borderId="1" xfId="0" applyFont="1" applyFill="1" applyBorder="1" applyAlignment="1" applyProtection="1">
      <alignment horizontal="center"/>
      <protection hidden="1"/>
    </xf>
    <xf numFmtId="0" fontId="66" fillId="8" borderId="21" xfId="0" applyFont="1" applyFill="1" applyBorder="1" applyAlignment="1" applyProtection="1">
      <alignment horizontal="center"/>
      <protection hidden="1"/>
    </xf>
    <xf numFmtId="0" fontId="27" fillId="0" borderId="24" xfId="0" applyFont="1" applyBorder="1" applyAlignment="1" applyProtection="1">
      <alignment horizontal="left" vertical="center"/>
      <protection hidden="1"/>
    </xf>
    <xf numFmtId="0" fontId="4" fillId="0" borderId="23" xfId="0" applyFont="1" applyBorder="1" applyAlignment="1" applyProtection="1">
      <alignment vertical="center"/>
      <protection hidden="1"/>
    </xf>
    <xf numFmtId="0" fontId="4" fillId="0" borderId="8" xfId="0" applyFont="1" applyBorder="1" applyAlignment="1" applyProtection="1">
      <alignment vertical="center"/>
      <protection hidden="1"/>
    </xf>
    <xf numFmtId="0" fontId="4" fillId="8" borderId="27" xfId="0" applyFont="1" applyFill="1" applyBorder="1" applyAlignment="1" applyProtection="1">
      <alignment horizontal="center" vertical="center"/>
      <protection hidden="1"/>
    </xf>
    <xf numFmtId="0" fontId="4" fillId="8" borderId="28" xfId="0" applyFont="1" applyFill="1" applyBorder="1" applyAlignment="1" applyProtection="1">
      <alignment horizontal="center" vertical="center"/>
      <protection hidden="1"/>
    </xf>
    <xf numFmtId="0" fontId="4" fillId="8" borderId="29" xfId="0" applyFont="1" applyFill="1" applyBorder="1" applyAlignment="1" applyProtection="1">
      <alignment horizontal="center" vertical="center"/>
      <protection hidden="1"/>
    </xf>
    <xf numFmtId="0" fontId="4" fillId="8" borderId="26" xfId="0" applyFont="1" applyFill="1" applyBorder="1" applyAlignment="1" applyProtection="1">
      <alignment horizontal="center" vertical="center"/>
      <protection hidden="1"/>
    </xf>
    <xf numFmtId="0" fontId="4" fillId="8" borderId="32" xfId="0" applyFont="1" applyFill="1" applyBorder="1" applyAlignment="1" applyProtection="1">
      <alignment horizontal="center" vertical="center"/>
      <protection hidden="1"/>
    </xf>
    <xf numFmtId="0" fontId="4" fillId="8" borderId="33" xfId="0" applyFont="1" applyFill="1" applyBorder="1" applyAlignment="1" applyProtection="1">
      <alignment horizontal="center" vertical="center"/>
      <protection hidden="1"/>
    </xf>
    <xf numFmtId="0" fontId="0" fillId="0" borderId="23" xfId="0" applyBorder="1" applyAlignment="1">
      <alignment horizontal="left" vertical="center"/>
    </xf>
    <xf numFmtId="0" fontId="0" fillId="0" borderId="8" xfId="0" applyBorder="1" applyAlignment="1">
      <alignment horizontal="left" vertical="center"/>
    </xf>
    <xf numFmtId="0" fontId="4" fillId="10" borderId="24" xfId="0" applyFont="1" applyFill="1" applyBorder="1" applyAlignment="1" applyProtection="1">
      <alignment horizontal="center" vertical="center"/>
      <protection hidden="1"/>
    </xf>
    <xf numFmtId="0" fontId="0" fillId="0" borderId="8" xfId="0" applyBorder="1" applyAlignment="1">
      <alignment horizontal="center" vertical="center"/>
    </xf>
    <xf numFmtId="0" fontId="53" fillId="0" borderId="8" xfId="0" applyFont="1" applyBorder="1" applyAlignment="1">
      <alignment horizontal="center" vertical="center"/>
    </xf>
    <xf numFmtId="0" fontId="4" fillId="10" borderId="34" xfId="0" applyFont="1" applyFill="1" applyBorder="1" applyAlignment="1" applyProtection="1">
      <alignment horizontal="left" vertical="center" wrapText="1"/>
      <protection hidden="1"/>
    </xf>
    <xf numFmtId="0" fontId="4" fillId="10" borderId="36" xfId="0" applyFont="1" applyFill="1" applyBorder="1" applyAlignment="1" applyProtection="1">
      <alignment horizontal="left" vertical="center" wrapText="1"/>
      <protection hidden="1"/>
    </xf>
    <xf numFmtId="0" fontId="4" fillId="10" borderId="38" xfId="0" applyFont="1" applyFill="1" applyBorder="1" applyAlignment="1" applyProtection="1">
      <alignment horizontal="left" vertical="center" wrapText="1"/>
      <protection hidden="1"/>
    </xf>
    <xf numFmtId="0" fontId="4" fillId="10" borderId="1" xfId="0" applyFont="1" applyFill="1" applyBorder="1" applyAlignment="1" applyProtection="1">
      <alignment horizontal="left" vertical="center" wrapText="1"/>
      <protection hidden="1"/>
    </xf>
    <xf numFmtId="0" fontId="4" fillId="10" borderId="21" xfId="0" applyFont="1" applyFill="1" applyBorder="1" applyAlignment="1" applyProtection="1">
      <alignment horizontal="left" vertical="center" wrapText="1"/>
      <protection hidden="1"/>
    </xf>
  </cellXfs>
  <cellStyles count="8">
    <cellStyle name="Euro" xfId="1" xr:uid="{00000000-0005-0000-0000-000000000000}"/>
    <cellStyle name="Gut" xfId="2" builtinId="26"/>
    <cellStyle name="Link" xfId="3" builtinId="8"/>
    <cellStyle name="Prozent" xfId="4" builtinId="5"/>
    <cellStyle name="Prozent 2" xfId="5" xr:uid="{00000000-0005-0000-0000-000004000000}"/>
    <cellStyle name="Standard" xfId="0" builtinId="0"/>
    <cellStyle name="Standard 2" xfId="7" xr:uid="{00000000-0005-0000-0000-000006000000}"/>
    <cellStyle name="Währung" xfId="6" builtinId="4"/>
  </cellStyles>
  <dxfs count="0"/>
  <tableStyles count="0" defaultTableStyle="TableStyleMedium2" defaultPivotStyle="PivotStyleLight16"/>
  <colors>
    <mruColors>
      <color rgb="FF7F8990"/>
      <color rgb="FF48535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333375</xdr:colOff>
      <xdr:row>38</xdr:row>
      <xdr:rowOff>161925</xdr:rowOff>
    </xdr:from>
    <xdr:to>
      <xdr:col>1</xdr:col>
      <xdr:colOff>333375</xdr:colOff>
      <xdr:row>43</xdr:row>
      <xdr:rowOff>152400</xdr:rowOff>
    </xdr:to>
    <xdr:sp macro="" textlink="">
      <xdr:nvSpPr>
        <xdr:cNvPr id="21882" name="Line 2">
          <a:extLst>
            <a:ext uri="{FF2B5EF4-FFF2-40B4-BE49-F238E27FC236}">
              <a16:creationId xmlns:a16="http://schemas.microsoft.com/office/drawing/2014/main" id="{00000000-0008-0000-0000-00007A550000}"/>
            </a:ext>
          </a:extLst>
        </xdr:cNvPr>
        <xdr:cNvSpPr>
          <a:spLocks noChangeShapeType="1"/>
        </xdr:cNvSpPr>
      </xdr:nvSpPr>
      <xdr:spPr bwMode="auto">
        <a:xfrm flipH="1" flipV="1">
          <a:off x="333375" y="5934075"/>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409575</xdr:colOff>
      <xdr:row>38</xdr:row>
      <xdr:rowOff>142875</xdr:rowOff>
    </xdr:from>
    <xdr:to>
      <xdr:col>4</xdr:col>
      <xdr:colOff>409575</xdr:colOff>
      <xdr:row>43</xdr:row>
      <xdr:rowOff>152400</xdr:rowOff>
    </xdr:to>
    <xdr:sp macro="" textlink="">
      <xdr:nvSpPr>
        <xdr:cNvPr id="21883" name="Line 3">
          <a:extLst>
            <a:ext uri="{FF2B5EF4-FFF2-40B4-BE49-F238E27FC236}">
              <a16:creationId xmlns:a16="http://schemas.microsoft.com/office/drawing/2014/main" id="{00000000-0008-0000-0000-00007B550000}"/>
            </a:ext>
          </a:extLst>
        </xdr:cNvPr>
        <xdr:cNvSpPr>
          <a:spLocks noChangeShapeType="1"/>
        </xdr:cNvSpPr>
      </xdr:nvSpPr>
      <xdr:spPr bwMode="auto">
        <a:xfrm flipV="1">
          <a:off x="2695575" y="5915025"/>
          <a:ext cx="0" cy="819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333375</xdr:colOff>
      <xdr:row>44</xdr:row>
      <xdr:rowOff>0</xdr:rowOff>
    </xdr:from>
    <xdr:to>
      <xdr:col>8</xdr:col>
      <xdr:colOff>0</xdr:colOff>
      <xdr:row>44</xdr:row>
      <xdr:rowOff>0</xdr:rowOff>
    </xdr:to>
    <xdr:sp macro="" textlink="">
      <xdr:nvSpPr>
        <xdr:cNvPr id="21884" name="Line 7">
          <a:extLst>
            <a:ext uri="{FF2B5EF4-FFF2-40B4-BE49-F238E27FC236}">
              <a16:creationId xmlns:a16="http://schemas.microsoft.com/office/drawing/2014/main" id="{00000000-0008-0000-0000-00007C550000}"/>
            </a:ext>
          </a:extLst>
        </xdr:cNvPr>
        <xdr:cNvSpPr>
          <a:spLocks noChangeShapeType="1"/>
        </xdr:cNvSpPr>
      </xdr:nvSpPr>
      <xdr:spPr bwMode="auto">
        <a:xfrm flipV="1">
          <a:off x="333375" y="6743700"/>
          <a:ext cx="50006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381000</xdr:colOff>
      <xdr:row>38</xdr:row>
      <xdr:rowOff>152400</xdr:rowOff>
    </xdr:from>
    <xdr:to>
      <xdr:col>6</xdr:col>
      <xdr:colOff>381000</xdr:colOff>
      <xdr:row>41</xdr:row>
      <xdr:rowOff>0</xdr:rowOff>
    </xdr:to>
    <xdr:sp macro="" textlink="">
      <xdr:nvSpPr>
        <xdr:cNvPr id="21885" name="Line 8">
          <a:extLst>
            <a:ext uri="{FF2B5EF4-FFF2-40B4-BE49-F238E27FC236}">
              <a16:creationId xmlns:a16="http://schemas.microsoft.com/office/drawing/2014/main" id="{00000000-0008-0000-0000-00007D550000}"/>
            </a:ext>
          </a:extLst>
        </xdr:cNvPr>
        <xdr:cNvSpPr>
          <a:spLocks noChangeShapeType="1"/>
        </xdr:cNvSpPr>
      </xdr:nvSpPr>
      <xdr:spPr bwMode="auto">
        <a:xfrm flipV="1">
          <a:off x="4191000" y="5924550"/>
          <a:ext cx="0" cy="3333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381000</xdr:colOff>
      <xdr:row>41</xdr:row>
      <xdr:rowOff>9525</xdr:rowOff>
    </xdr:from>
    <xdr:to>
      <xdr:col>7</xdr:col>
      <xdr:colOff>742950</xdr:colOff>
      <xdr:row>41</xdr:row>
      <xdr:rowOff>9525</xdr:rowOff>
    </xdr:to>
    <xdr:sp macro="" textlink="">
      <xdr:nvSpPr>
        <xdr:cNvPr id="21886" name="Line 9">
          <a:extLst>
            <a:ext uri="{FF2B5EF4-FFF2-40B4-BE49-F238E27FC236}">
              <a16:creationId xmlns:a16="http://schemas.microsoft.com/office/drawing/2014/main" id="{00000000-0008-0000-0000-00007E550000}"/>
            </a:ext>
          </a:extLst>
        </xdr:cNvPr>
        <xdr:cNvSpPr>
          <a:spLocks noChangeShapeType="1"/>
        </xdr:cNvSpPr>
      </xdr:nvSpPr>
      <xdr:spPr bwMode="auto">
        <a:xfrm>
          <a:off x="4191000" y="6267450"/>
          <a:ext cx="11239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142875</xdr:colOff>
      <xdr:row>23</xdr:row>
      <xdr:rowOff>85725</xdr:rowOff>
    </xdr:from>
    <xdr:to>
      <xdr:col>8</xdr:col>
      <xdr:colOff>571500</xdr:colOff>
      <xdr:row>23</xdr:row>
      <xdr:rowOff>85725</xdr:rowOff>
    </xdr:to>
    <xdr:sp macro="" textlink="">
      <xdr:nvSpPr>
        <xdr:cNvPr id="21887" name="Line 10">
          <a:extLst>
            <a:ext uri="{FF2B5EF4-FFF2-40B4-BE49-F238E27FC236}">
              <a16:creationId xmlns:a16="http://schemas.microsoft.com/office/drawing/2014/main" id="{00000000-0008-0000-0000-00007F550000}"/>
            </a:ext>
          </a:extLst>
        </xdr:cNvPr>
        <xdr:cNvSpPr>
          <a:spLocks noChangeShapeType="1"/>
        </xdr:cNvSpPr>
      </xdr:nvSpPr>
      <xdr:spPr bwMode="auto">
        <a:xfrm>
          <a:off x="4714875" y="3429000"/>
          <a:ext cx="1190625"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352425</xdr:colOff>
      <xdr:row>38</xdr:row>
      <xdr:rowOff>152400</xdr:rowOff>
    </xdr:from>
    <xdr:to>
      <xdr:col>5</xdr:col>
      <xdr:colOff>352425</xdr:colOff>
      <xdr:row>44</xdr:row>
      <xdr:rowOff>0</xdr:rowOff>
    </xdr:to>
    <xdr:sp macro="" textlink="">
      <xdr:nvSpPr>
        <xdr:cNvPr id="21888" name="Line 12">
          <a:extLst>
            <a:ext uri="{FF2B5EF4-FFF2-40B4-BE49-F238E27FC236}">
              <a16:creationId xmlns:a16="http://schemas.microsoft.com/office/drawing/2014/main" id="{00000000-0008-0000-0000-000080550000}"/>
            </a:ext>
          </a:extLst>
        </xdr:cNvPr>
        <xdr:cNvSpPr>
          <a:spLocks noChangeShapeType="1"/>
        </xdr:cNvSpPr>
      </xdr:nvSpPr>
      <xdr:spPr bwMode="auto">
        <a:xfrm flipV="1">
          <a:off x="3400425" y="5924550"/>
          <a:ext cx="0" cy="819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352425</xdr:colOff>
      <xdr:row>38</xdr:row>
      <xdr:rowOff>152400</xdr:rowOff>
    </xdr:from>
    <xdr:to>
      <xdr:col>3</xdr:col>
      <xdr:colOff>352425</xdr:colOff>
      <xdr:row>44</xdr:row>
      <xdr:rowOff>0</xdr:rowOff>
    </xdr:to>
    <xdr:sp macro="" textlink="">
      <xdr:nvSpPr>
        <xdr:cNvPr id="21889" name="Line 13">
          <a:extLst>
            <a:ext uri="{FF2B5EF4-FFF2-40B4-BE49-F238E27FC236}">
              <a16:creationId xmlns:a16="http://schemas.microsoft.com/office/drawing/2014/main" id="{00000000-0008-0000-0000-000081550000}"/>
            </a:ext>
          </a:extLst>
        </xdr:cNvPr>
        <xdr:cNvSpPr>
          <a:spLocks noChangeShapeType="1"/>
        </xdr:cNvSpPr>
      </xdr:nvSpPr>
      <xdr:spPr bwMode="auto">
        <a:xfrm flipV="1">
          <a:off x="1876425" y="5924550"/>
          <a:ext cx="0" cy="819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38100</xdr:colOff>
      <xdr:row>3</xdr:row>
      <xdr:rowOff>123825</xdr:rowOff>
    </xdr:from>
    <xdr:to>
      <xdr:col>3</xdr:col>
      <xdr:colOff>685800</xdr:colOff>
      <xdr:row>8</xdr:row>
      <xdr:rowOff>0</xdr:rowOff>
    </xdr:to>
    <xdr:pic>
      <xdr:nvPicPr>
        <xdr:cNvPr id="21890" name="Picture 14" descr="uni_BT_logo">
          <a:extLst>
            <a:ext uri="{FF2B5EF4-FFF2-40B4-BE49-F238E27FC236}">
              <a16:creationId xmlns:a16="http://schemas.microsoft.com/office/drawing/2014/main" id="{00000000-0008-0000-0000-000082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123825"/>
          <a:ext cx="2171700" cy="704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34</xdr:row>
          <xdr:rowOff>57150</xdr:rowOff>
        </xdr:from>
        <xdr:to>
          <xdr:col>1</xdr:col>
          <xdr:colOff>0</xdr:colOff>
          <xdr:row>34</xdr:row>
          <xdr:rowOff>304800</xdr:rowOff>
        </xdr:to>
        <xdr:sp macro="" textlink="">
          <xdr:nvSpPr>
            <xdr:cNvPr id="25601" name="Check Box 1" hidden="1">
              <a:extLst>
                <a:ext uri="{63B3BB69-23CF-44E3-9099-C40C66FF867C}">
                  <a14:compatExt spid="_x0000_s25601"/>
                </a:ext>
                <a:ext uri="{FF2B5EF4-FFF2-40B4-BE49-F238E27FC236}">
                  <a16:creationId xmlns:a16="http://schemas.microsoft.com/office/drawing/2014/main" id="{00000000-0008-0000-0100-0000016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C0C0C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xdr:row>
          <xdr:rowOff>0</xdr:rowOff>
        </xdr:from>
        <xdr:to>
          <xdr:col>1</xdr:col>
          <xdr:colOff>0</xdr:colOff>
          <xdr:row>32</xdr:row>
          <xdr:rowOff>247650</xdr:rowOff>
        </xdr:to>
        <xdr:sp macro="" textlink="">
          <xdr:nvSpPr>
            <xdr:cNvPr id="25602" name="Check Box 2" hidden="1">
              <a:extLst>
                <a:ext uri="{63B3BB69-23CF-44E3-9099-C40C66FF867C}">
                  <a14:compatExt spid="_x0000_s25602"/>
                </a:ext>
                <a:ext uri="{FF2B5EF4-FFF2-40B4-BE49-F238E27FC236}">
                  <a16:creationId xmlns:a16="http://schemas.microsoft.com/office/drawing/2014/main" id="{00000000-0008-0000-0100-0000026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C0C0C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xdr:row>
          <xdr:rowOff>0</xdr:rowOff>
        </xdr:from>
        <xdr:to>
          <xdr:col>1</xdr:col>
          <xdr:colOff>0</xdr:colOff>
          <xdr:row>34</xdr:row>
          <xdr:rowOff>247650</xdr:rowOff>
        </xdr:to>
        <xdr:sp macro="" textlink="">
          <xdr:nvSpPr>
            <xdr:cNvPr id="25603" name="Check Box 3" hidden="1">
              <a:extLst>
                <a:ext uri="{63B3BB69-23CF-44E3-9099-C40C66FF867C}">
                  <a14:compatExt spid="_x0000_s25603"/>
                </a:ext>
                <a:ext uri="{FF2B5EF4-FFF2-40B4-BE49-F238E27FC236}">
                  <a16:creationId xmlns:a16="http://schemas.microsoft.com/office/drawing/2014/main" id="{00000000-0008-0000-0100-0000036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C0C0C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xdr:row>
          <xdr:rowOff>0</xdr:rowOff>
        </xdr:from>
        <xdr:to>
          <xdr:col>1</xdr:col>
          <xdr:colOff>0</xdr:colOff>
          <xdr:row>32</xdr:row>
          <xdr:rowOff>247650</xdr:rowOff>
        </xdr:to>
        <xdr:sp macro="" textlink="">
          <xdr:nvSpPr>
            <xdr:cNvPr id="25604" name="Check Box 4" hidden="1">
              <a:extLst>
                <a:ext uri="{63B3BB69-23CF-44E3-9099-C40C66FF867C}">
                  <a14:compatExt spid="_x0000_s25604"/>
                </a:ext>
                <a:ext uri="{FF2B5EF4-FFF2-40B4-BE49-F238E27FC236}">
                  <a16:creationId xmlns:a16="http://schemas.microsoft.com/office/drawing/2014/main" id="{00000000-0008-0000-0100-0000046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C0C0C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xdr:row>
          <xdr:rowOff>0</xdr:rowOff>
        </xdr:from>
        <xdr:to>
          <xdr:col>1</xdr:col>
          <xdr:colOff>0</xdr:colOff>
          <xdr:row>34</xdr:row>
          <xdr:rowOff>247650</xdr:rowOff>
        </xdr:to>
        <xdr:sp macro="" textlink="">
          <xdr:nvSpPr>
            <xdr:cNvPr id="25605" name="Check Box 5" hidden="1">
              <a:extLst>
                <a:ext uri="{63B3BB69-23CF-44E3-9099-C40C66FF867C}">
                  <a14:compatExt spid="_x0000_s25605"/>
                </a:ext>
                <a:ext uri="{FF2B5EF4-FFF2-40B4-BE49-F238E27FC236}">
                  <a16:creationId xmlns:a16="http://schemas.microsoft.com/office/drawing/2014/main" id="{00000000-0008-0000-0100-0000056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C0C0C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xdr:row>
          <xdr:rowOff>76200</xdr:rowOff>
        </xdr:from>
        <xdr:to>
          <xdr:col>1</xdr:col>
          <xdr:colOff>19050</xdr:colOff>
          <xdr:row>23</xdr:row>
          <xdr:rowOff>38100</xdr:rowOff>
        </xdr:to>
        <xdr:sp macro="" textlink="">
          <xdr:nvSpPr>
            <xdr:cNvPr id="25606" name="Check Box 6" hidden="1">
              <a:extLst>
                <a:ext uri="{63B3BB69-23CF-44E3-9099-C40C66FF867C}">
                  <a14:compatExt spid="_x0000_s25606"/>
                </a:ext>
                <a:ext uri="{FF2B5EF4-FFF2-40B4-BE49-F238E27FC236}">
                  <a16:creationId xmlns:a16="http://schemas.microsoft.com/office/drawing/2014/main" id="{00000000-0008-0000-0100-0000066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C0C0C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xdr:row>
          <xdr:rowOff>38100</xdr:rowOff>
        </xdr:from>
        <xdr:to>
          <xdr:col>1</xdr:col>
          <xdr:colOff>19050</xdr:colOff>
          <xdr:row>25</xdr:row>
          <xdr:rowOff>38100</xdr:rowOff>
        </xdr:to>
        <xdr:sp macro="" textlink="">
          <xdr:nvSpPr>
            <xdr:cNvPr id="25607" name="Check Box 7" hidden="1">
              <a:extLst>
                <a:ext uri="{63B3BB69-23CF-44E3-9099-C40C66FF867C}">
                  <a14:compatExt spid="_x0000_s25607"/>
                </a:ext>
                <a:ext uri="{FF2B5EF4-FFF2-40B4-BE49-F238E27FC236}">
                  <a16:creationId xmlns:a16="http://schemas.microsoft.com/office/drawing/2014/main" id="{00000000-0008-0000-0100-0000076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C0C0C0"/>
                  </a:solidFill>
                  <a:miter lim="800000"/>
                  <a:headEnd/>
                  <a:tailEnd/>
                </a14:hiddenLine>
              </a:ext>
            </a:extLst>
          </xdr:spPr>
        </xdr:sp>
        <xdr:clientData/>
      </xdr:twoCellAnchor>
    </mc:Choice>
    <mc:Fallback/>
  </mc:AlternateContent>
  <xdr:twoCellAnchor>
    <xdr:from>
      <xdr:col>8</xdr:col>
      <xdr:colOff>97325</xdr:colOff>
      <xdr:row>53</xdr:row>
      <xdr:rowOff>0</xdr:rowOff>
    </xdr:from>
    <xdr:to>
      <xdr:col>8</xdr:col>
      <xdr:colOff>257345</xdr:colOff>
      <xdr:row>53</xdr:row>
      <xdr:rowOff>191990</xdr:rowOff>
    </xdr:to>
    <xdr:sp macro="" textlink="">
      <xdr:nvSpPr>
        <xdr:cNvPr id="21" name="Rechteck 20">
          <a:extLst>
            <a:ext uri="{FF2B5EF4-FFF2-40B4-BE49-F238E27FC236}">
              <a16:creationId xmlns:a16="http://schemas.microsoft.com/office/drawing/2014/main" id="{00000000-0008-0000-0100-000015000000}"/>
            </a:ext>
          </a:extLst>
        </xdr:cNvPr>
        <xdr:cNvSpPr/>
      </xdr:nvSpPr>
      <xdr:spPr>
        <a:xfrm>
          <a:off x="6221900" y="11334750"/>
          <a:ext cx="160020" cy="19199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de-DE"/>
            <a:t>xxxxxx</a:t>
          </a:r>
        </a:p>
      </xdr:txBody>
    </xdr:sp>
    <xdr:clientData/>
  </xdr:twoCellAnchor>
  <xdr:twoCellAnchor>
    <xdr:from>
      <xdr:col>6</xdr:col>
      <xdr:colOff>154475</xdr:colOff>
      <xdr:row>53</xdr:row>
      <xdr:rowOff>0</xdr:rowOff>
    </xdr:from>
    <xdr:to>
      <xdr:col>6</xdr:col>
      <xdr:colOff>314495</xdr:colOff>
      <xdr:row>53</xdr:row>
      <xdr:rowOff>191990</xdr:rowOff>
    </xdr:to>
    <xdr:sp macro="" textlink="">
      <xdr:nvSpPr>
        <xdr:cNvPr id="22" name="Rechteck 21">
          <a:extLst>
            <a:ext uri="{FF2B5EF4-FFF2-40B4-BE49-F238E27FC236}">
              <a16:creationId xmlns:a16="http://schemas.microsoft.com/office/drawing/2014/main" id="{00000000-0008-0000-0100-000016000000}"/>
            </a:ext>
          </a:extLst>
        </xdr:cNvPr>
        <xdr:cNvSpPr/>
      </xdr:nvSpPr>
      <xdr:spPr>
        <a:xfrm>
          <a:off x="4736000" y="11334750"/>
          <a:ext cx="160020" cy="19199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de-DE"/>
            <a:t>xxxxxx</a:t>
          </a:r>
        </a:p>
      </xdr:txBody>
    </xdr:sp>
    <xdr:clientData/>
  </xdr:twoCellAnchor>
  <xdr:twoCellAnchor>
    <xdr:from>
      <xdr:col>6</xdr:col>
      <xdr:colOff>154475</xdr:colOff>
      <xdr:row>55</xdr:row>
      <xdr:rowOff>0</xdr:rowOff>
    </xdr:from>
    <xdr:to>
      <xdr:col>6</xdr:col>
      <xdr:colOff>314495</xdr:colOff>
      <xdr:row>55</xdr:row>
      <xdr:rowOff>191990</xdr:rowOff>
    </xdr:to>
    <xdr:sp macro="" textlink="">
      <xdr:nvSpPr>
        <xdr:cNvPr id="23" name="Rechteck 22">
          <a:extLst>
            <a:ext uri="{FF2B5EF4-FFF2-40B4-BE49-F238E27FC236}">
              <a16:creationId xmlns:a16="http://schemas.microsoft.com/office/drawing/2014/main" id="{00000000-0008-0000-0100-000017000000}"/>
            </a:ext>
          </a:extLst>
        </xdr:cNvPr>
        <xdr:cNvSpPr/>
      </xdr:nvSpPr>
      <xdr:spPr>
        <a:xfrm>
          <a:off x="4736000" y="11601450"/>
          <a:ext cx="160020" cy="19199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de-DE"/>
            <a:t>xxxxxx</a:t>
          </a:r>
        </a:p>
      </xdr:txBody>
    </xdr:sp>
    <xdr:clientData/>
  </xdr:twoCellAnchor>
  <xdr:twoCellAnchor>
    <xdr:from>
      <xdr:col>6</xdr:col>
      <xdr:colOff>847725</xdr:colOff>
      <xdr:row>55</xdr:row>
      <xdr:rowOff>0</xdr:rowOff>
    </xdr:from>
    <xdr:to>
      <xdr:col>6</xdr:col>
      <xdr:colOff>1007745</xdr:colOff>
      <xdr:row>55</xdr:row>
      <xdr:rowOff>191990</xdr:rowOff>
    </xdr:to>
    <xdr:sp macro="" textlink="">
      <xdr:nvSpPr>
        <xdr:cNvPr id="24" name="Rechteck 23">
          <a:extLst>
            <a:ext uri="{FF2B5EF4-FFF2-40B4-BE49-F238E27FC236}">
              <a16:creationId xmlns:a16="http://schemas.microsoft.com/office/drawing/2014/main" id="{00000000-0008-0000-0100-000018000000}"/>
            </a:ext>
          </a:extLst>
        </xdr:cNvPr>
        <xdr:cNvSpPr/>
      </xdr:nvSpPr>
      <xdr:spPr>
        <a:xfrm>
          <a:off x="5429250" y="11601450"/>
          <a:ext cx="160020" cy="19199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de-DE"/>
            <a:t>xxxxxx</a:t>
          </a:r>
        </a:p>
      </xdr:txBody>
    </xdr:sp>
    <xdr:clientData/>
  </xdr:twoCellAnchor>
  <xdr:twoCellAnchor>
    <xdr:from>
      <xdr:col>3</xdr:col>
      <xdr:colOff>1499153</xdr:colOff>
      <xdr:row>57</xdr:row>
      <xdr:rowOff>137905</xdr:rowOff>
    </xdr:from>
    <xdr:to>
      <xdr:col>3</xdr:col>
      <xdr:colOff>1659173</xdr:colOff>
      <xdr:row>57</xdr:row>
      <xdr:rowOff>329895</xdr:rowOff>
    </xdr:to>
    <xdr:sp macro="" textlink="">
      <xdr:nvSpPr>
        <xdr:cNvPr id="25" name="Rechteck 24">
          <a:extLst>
            <a:ext uri="{FF2B5EF4-FFF2-40B4-BE49-F238E27FC236}">
              <a16:creationId xmlns:a16="http://schemas.microsoft.com/office/drawing/2014/main" id="{00000000-0008-0000-0100-000019000000}"/>
            </a:ext>
          </a:extLst>
        </xdr:cNvPr>
        <xdr:cNvSpPr/>
      </xdr:nvSpPr>
      <xdr:spPr>
        <a:xfrm>
          <a:off x="3204128" y="12577555"/>
          <a:ext cx="160020" cy="19199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de-DE"/>
            <a:t>xxxxxx</a:t>
          </a:r>
        </a:p>
      </xdr:txBody>
    </xdr:sp>
    <xdr:clientData/>
  </xdr:twoCellAnchor>
  <xdr:twoCellAnchor>
    <xdr:from>
      <xdr:col>7</xdr:col>
      <xdr:colOff>180975</xdr:colOff>
      <xdr:row>57</xdr:row>
      <xdr:rowOff>85725</xdr:rowOff>
    </xdr:from>
    <xdr:to>
      <xdr:col>7</xdr:col>
      <xdr:colOff>340995</xdr:colOff>
      <xdr:row>57</xdr:row>
      <xdr:rowOff>277715</xdr:rowOff>
    </xdr:to>
    <xdr:sp macro="" textlink="">
      <xdr:nvSpPr>
        <xdr:cNvPr id="26" name="Rechteck 25">
          <a:extLst>
            <a:ext uri="{FF2B5EF4-FFF2-40B4-BE49-F238E27FC236}">
              <a16:creationId xmlns:a16="http://schemas.microsoft.com/office/drawing/2014/main" id="{00000000-0008-0000-0100-00001A000000}"/>
            </a:ext>
          </a:extLst>
        </xdr:cNvPr>
        <xdr:cNvSpPr/>
      </xdr:nvSpPr>
      <xdr:spPr>
        <a:xfrm>
          <a:off x="5838825" y="12525375"/>
          <a:ext cx="160020" cy="19199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de-DE"/>
            <a:t>xxxxxx</a:t>
          </a:r>
        </a:p>
      </xdr:txBody>
    </xdr:sp>
    <xdr:clientData/>
  </xdr:twoCellAnchor>
  <xdr:twoCellAnchor>
    <xdr:from>
      <xdr:col>7</xdr:col>
      <xdr:colOff>198782</xdr:colOff>
      <xdr:row>58</xdr:row>
      <xdr:rowOff>215348</xdr:rowOff>
    </xdr:from>
    <xdr:to>
      <xdr:col>7</xdr:col>
      <xdr:colOff>358802</xdr:colOff>
      <xdr:row>59</xdr:row>
      <xdr:rowOff>175425</xdr:rowOff>
    </xdr:to>
    <xdr:sp macro="" textlink="">
      <xdr:nvSpPr>
        <xdr:cNvPr id="27" name="Rechteck 26">
          <a:extLst>
            <a:ext uri="{FF2B5EF4-FFF2-40B4-BE49-F238E27FC236}">
              <a16:creationId xmlns:a16="http://schemas.microsoft.com/office/drawing/2014/main" id="{00000000-0008-0000-0100-00001B000000}"/>
            </a:ext>
          </a:extLst>
        </xdr:cNvPr>
        <xdr:cNvSpPr/>
      </xdr:nvSpPr>
      <xdr:spPr>
        <a:xfrm>
          <a:off x="5856632" y="12445448"/>
          <a:ext cx="160020" cy="188677"/>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de-DE"/>
            <a:t>xxxxxx     </a:t>
          </a:r>
        </a:p>
      </xdr:txBody>
    </xdr:sp>
    <xdr:clientData/>
  </xdr:twoCellAnchor>
  <mc:AlternateContent xmlns:mc="http://schemas.openxmlformats.org/markup-compatibility/2006">
    <mc:Choice xmlns:a14="http://schemas.microsoft.com/office/drawing/2010/main" Requires="a14">
      <xdr:twoCellAnchor editAs="oneCell">
        <xdr:from>
          <xdr:col>0</xdr:col>
          <xdr:colOff>114300</xdr:colOff>
          <xdr:row>33</xdr:row>
          <xdr:rowOff>0</xdr:rowOff>
        </xdr:from>
        <xdr:to>
          <xdr:col>1</xdr:col>
          <xdr:colOff>0</xdr:colOff>
          <xdr:row>33</xdr:row>
          <xdr:rowOff>247650</xdr:rowOff>
        </xdr:to>
        <xdr:sp macro="" textlink="">
          <xdr:nvSpPr>
            <xdr:cNvPr id="25608" name="Check Box 8" hidden="1">
              <a:extLst>
                <a:ext uri="{63B3BB69-23CF-44E3-9099-C40C66FF867C}">
                  <a14:compatExt spid="_x0000_s25608"/>
                </a:ext>
                <a:ext uri="{FF2B5EF4-FFF2-40B4-BE49-F238E27FC236}">
                  <a16:creationId xmlns:a16="http://schemas.microsoft.com/office/drawing/2014/main" id="{00000000-0008-0000-0100-0000086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C0C0C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www.uni-bayreuth.de/Users/bt151049/AppData/Local/Temp/Kopie%20von%20H1244_projekt_kalk-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inleitung"/>
      <sheetName val="Daten zum Auftrag"/>
      <sheetName val="vereinfachte Gesamtkalkulation"/>
      <sheetName val="Personalkosten"/>
      <sheetName val="Gerätenutzungskosten"/>
      <sheetName val="Materialkosten"/>
      <sheetName val="Fremdleistungskosten"/>
      <sheetName val="sonstige direkt zurechenbare Ko"/>
      <sheetName val="Gesamtkalkulation"/>
      <sheetName val="Code"/>
      <sheetName val="Tabelle1"/>
      <sheetName val="Tabelle2"/>
      <sheetName val="Tabelle3"/>
    </sheetNames>
    <sheetDataSet>
      <sheetData sheetId="0" refreshError="1"/>
      <sheetData sheetId="1"/>
      <sheetData sheetId="2">
        <row r="62">
          <cell r="C62">
            <v>0.03</v>
          </cell>
        </row>
      </sheetData>
      <sheetData sheetId="3"/>
      <sheetData sheetId="4"/>
      <sheetData sheetId="5"/>
      <sheetData sheetId="6"/>
      <sheetData sheetId="7"/>
      <sheetData sheetId="8"/>
      <sheetData sheetId="9"/>
      <sheetData sheetId="10" refreshError="1"/>
      <sheetData sheetId="11" refreshError="1"/>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a:solidFill>
          <a:schemeClr val="lt1"/>
        </a:solidFill>
        <a:ln w="9525" cmpd="sng">
          <a:solidFill>
            <a:schemeClr val="lt1">
              <a:shade val="50000"/>
            </a:schemeClr>
          </a:solidFill>
        </a:ln>
      </a:spPr>
      <a:bodyPr vertOverflow="clip" horzOverflow="clip" wrap="square" rtlCol="0" anchor="ctr"/>
      <a:lstStyle>
        <a:defPPr algn="ctr">
          <a:defRPr/>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pageSetUpPr fitToPage="1"/>
  </sheetPr>
  <dimension ref="B4:Q88"/>
  <sheetViews>
    <sheetView showGridLines="0" showRowColHeaders="0" tabSelected="1" showRuler="0" zoomScaleNormal="100" workbookViewId="0"/>
  </sheetViews>
  <sheetFormatPr baseColWidth="10" defaultColWidth="11.42578125" defaultRowHeight="12.75" x14ac:dyDescent="0.2"/>
  <cols>
    <col min="1" max="10" width="11.42578125" style="12"/>
    <col min="11" max="11" width="38.42578125" style="12" customWidth="1"/>
    <col min="12" max="16384" width="11.42578125" style="12"/>
  </cols>
  <sheetData>
    <row r="4" spans="2:17" x14ac:dyDescent="0.2">
      <c r="B4" s="59"/>
      <c r="C4" s="59"/>
      <c r="D4" s="59"/>
      <c r="E4" s="59"/>
      <c r="F4" s="59"/>
      <c r="G4" s="59"/>
      <c r="H4" s="59"/>
      <c r="I4" s="59"/>
      <c r="J4" s="59"/>
      <c r="K4" s="59"/>
      <c r="L4" s="59"/>
      <c r="M4" s="59"/>
      <c r="N4" s="59"/>
      <c r="O4" s="59"/>
      <c r="P4" s="59"/>
      <c r="Q4" s="59"/>
    </row>
    <row r="5" spans="2:17" ht="13.5" customHeight="1" x14ac:dyDescent="0.25">
      <c r="B5" s="59"/>
      <c r="C5" s="59"/>
      <c r="D5" s="59"/>
      <c r="E5" s="59"/>
      <c r="F5" s="498"/>
      <c r="G5" s="498"/>
      <c r="H5" s="498"/>
      <c r="I5" s="498"/>
      <c r="J5" s="498"/>
      <c r="K5" s="498"/>
      <c r="L5" s="59"/>
      <c r="M5" s="59"/>
      <c r="N5" s="59"/>
      <c r="O5" s="59"/>
      <c r="P5" s="59"/>
      <c r="Q5" s="59"/>
    </row>
    <row r="6" spans="2:17" x14ac:dyDescent="0.2">
      <c r="B6" s="59"/>
      <c r="C6" s="59"/>
      <c r="D6" s="59"/>
      <c r="E6" s="59"/>
      <c r="F6" s="495"/>
      <c r="G6" s="495"/>
      <c r="H6" s="495"/>
      <c r="I6" s="495"/>
      <c r="J6" s="495"/>
      <c r="K6" s="495"/>
      <c r="L6" s="59"/>
      <c r="M6" s="59"/>
      <c r="N6" s="59"/>
      <c r="O6" s="59"/>
      <c r="P6" s="59"/>
      <c r="Q6" s="59"/>
    </row>
    <row r="7" spans="2:17" ht="13.5" customHeight="1" x14ac:dyDescent="0.2">
      <c r="B7" s="59"/>
      <c r="C7" s="59"/>
      <c r="D7" s="59"/>
      <c r="E7" s="59"/>
      <c r="F7" s="496" t="s">
        <v>0</v>
      </c>
      <c r="G7" s="497"/>
      <c r="H7" s="497"/>
      <c r="I7" s="497"/>
      <c r="J7" s="497"/>
      <c r="K7" s="497"/>
      <c r="L7" s="59"/>
      <c r="M7" s="72"/>
      <c r="N7" s="59"/>
      <c r="O7" s="59"/>
      <c r="P7" s="59"/>
      <c r="Q7" s="59"/>
    </row>
    <row r="8" spans="2:17" x14ac:dyDescent="0.2">
      <c r="B8" s="59"/>
      <c r="C8" s="59"/>
      <c r="D8" s="59"/>
      <c r="E8" s="59"/>
      <c r="F8" s="495" t="s">
        <v>464</v>
      </c>
      <c r="G8" s="495"/>
      <c r="H8" s="495"/>
      <c r="I8" s="495"/>
      <c r="J8" s="495"/>
      <c r="K8" s="495"/>
      <c r="L8" s="59"/>
      <c r="M8" s="59"/>
      <c r="N8" s="59"/>
      <c r="O8" s="59"/>
      <c r="P8" s="59"/>
      <c r="Q8" s="59"/>
    </row>
    <row r="9" spans="2:17" x14ac:dyDescent="0.2">
      <c r="B9" s="59"/>
      <c r="C9" s="59"/>
      <c r="D9" s="59"/>
      <c r="E9" s="59"/>
      <c r="F9" s="499" t="s">
        <v>1</v>
      </c>
      <c r="G9" s="500"/>
      <c r="H9" s="500"/>
      <c r="I9" s="500"/>
      <c r="J9" s="500"/>
      <c r="K9" s="500"/>
      <c r="L9" s="59"/>
      <c r="M9" s="72"/>
      <c r="N9" s="59"/>
      <c r="O9" s="59"/>
      <c r="P9" s="59"/>
      <c r="Q9" s="59"/>
    </row>
    <row r="10" spans="2:17" ht="15" x14ac:dyDescent="0.2">
      <c r="B10" s="75" t="s">
        <v>2</v>
      </c>
      <c r="C10" s="75"/>
      <c r="D10" s="59"/>
      <c r="E10" s="59"/>
      <c r="F10" s="494"/>
      <c r="G10" s="494"/>
      <c r="H10" s="494"/>
      <c r="I10" s="494"/>
      <c r="J10" s="494"/>
      <c r="K10" s="494"/>
      <c r="L10" s="59"/>
      <c r="M10" s="59"/>
      <c r="N10" s="59"/>
      <c r="O10" s="59"/>
      <c r="P10" s="59"/>
      <c r="Q10" s="59"/>
    </row>
    <row r="11" spans="2:17" ht="15" x14ac:dyDescent="0.2">
      <c r="B11" s="75" t="s">
        <v>3</v>
      </c>
      <c r="C11" s="75"/>
      <c r="D11" s="59"/>
      <c r="E11" s="59"/>
      <c r="F11" s="59"/>
      <c r="G11" s="59"/>
      <c r="H11" s="59"/>
      <c r="I11" s="59"/>
      <c r="J11" s="59"/>
      <c r="K11" s="59"/>
      <c r="L11" s="59"/>
      <c r="M11" s="59"/>
      <c r="N11" s="59"/>
      <c r="O11" s="59"/>
      <c r="P11" s="59"/>
      <c r="Q11" s="59"/>
    </row>
    <row r="12" spans="2:17" ht="15" x14ac:dyDescent="0.2">
      <c r="B12" s="75"/>
      <c r="C12" s="75"/>
      <c r="D12" s="59"/>
      <c r="E12" s="59"/>
      <c r="F12" s="59"/>
      <c r="G12" s="59"/>
      <c r="H12" s="59"/>
      <c r="I12" s="59"/>
      <c r="J12" s="59"/>
      <c r="K12" s="59"/>
      <c r="L12" s="59"/>
      <c r="M12" s="59"/>
      <c r="N12" s="59"/>
      <c r="O12" s="59"/>
      <c r="P12" s="59"/>
      <c r="Q12" s="59"/>
    </row>
    <row r="13" spans="2:17" x14ac:dyDescent="0.2">
      <c r="B13" s="59" t="s">
        <v>4</v>
      </c>
      <c r="C13" s="59"/>
      <c r="D13" s="59"/>
      <c r="E13" s="59"/>
      <c r="F13" s="59"/>
      <c r="G13" s="59"/>
      <c r="H13" s="59"/>
      <c r="I13" s="59"/>
      <c r="J13" s="59"/>
      <c r="K13" s="59"/>
      <c r="L13" s="59"/>
      <c r="M13" s="59"/>
      <c r="N13" s="59"/>
      <c r="O13" s="59"/>
      <c r="P13" s="59"/>
      <c r="Q13" s="59"/>
    </row>
    <row r="14" spans="2:17" x14ac:dyDescent="0.2">
      <c r="B14" s="59" t="s">
        <v>5</v>
      </c>
      <c r="C14" s="59"/>
      <c r="D14" s="59"/>
      <c r="E14" s="59"/>
      <c r="F14" s="59"/>
      <c r="G14" s="59"/>
      <c r="H14" s="59"/>
      <c r="I14" s="59"/>
      <c r="J14" s="59"/>
      <c r="K14" s="59"/>
      <c r="L14" s="59"/>
      <c r="M14" s="59"/>
      <c r="N14" s="59"/>
      <c r="O14" s="59"/>
      <c r="P14" s="59"/>
      <c r="Q14" s="59"/>
    </row>
    <row r="15" spans="2:17" x14ac:dyDescent="0.2">
      <c r="B15" s="59"/>
      <c r="C15" s="59"/>
      <c r="D15" s="59"/>
      <c r="E15" s="59"/>
      <c r="F15" s="59"/>
      <c r="G15" s="59"/>
      <c r="H15" s="59"/>
      <c r="I15" s="59"/>
      <c r="J15" s="59"/>
      <c r="K15" s="59"/>
      <c r="L15" s="59"/>
      <c r="M15" s="59"/>
      <c r="N15" s="59"/>
      <c r="O15" s="59"/>
      <c r="P15" s="59"/>
      <c r="Q15" s="59"/>
    </row>
    <row r="16" spans="2:17" x14ac:dyDescent="0.2">
      <c r="B16" s="59" t="s">
        <v>6</v>
      </c>
      <c r="C16" s="59"/>
      <c r="D16" s="59"/>
      <c r="E16" s="59"/>
      <c r="F16" s="59"/>
      <c r="G16" s="59"/>
      <c r="H16" s="59"/>
      <c r="I16" s="59"/>
      <c r="J16" s="59"/>
      <c r="K16" s="59"/>
      <c r="L16" s="59"/>
      <c r="M16" s="59"/>
      <c r="N16" s="59"/>
      <c r="O16" s="59"/>
      <c r="P16" s="59"/>
      <c r="Q16" s="59"/>
    </row>
    <row r="17" spans="2:17" x14ac:dyDescent="0.2">
      <c r="B17" s="59"/>
      <c r="C17" s="59"/>
      <c r="D17" s="59"/>
      <c r="E17" s="59"/>
      <c r="F17" s="59"/>
      <c r="G17" s="59"/>
      <c r="H17" s="59"/>
      <c r="I17" s="59"/>
      <c r="J17" s="59"/>
      <c r="K17" s="59"/>
      <c r="L17" s="59"/>
      <c r="M17" s="59"/>
      <c r="N17" s="59"/>
      <c r="O17" s="59"/>
      <c r="P17" s="59"/>
      <c r="Q17" s="59"/>
    </row>
    <row r="18" spans="2:17" x14ac:dyDescent="0.2">
      <c r="B18" s="87" t="s">
        <v>7</v>
      </c>
      <c r="C18" s="88"/>
      <c r="D18" s="50"/>
      <c r="E18" s="59"/>
      <c r="F18" s="59"/>
      <c r="G18" s="59"/>
      <c r="H18" s="59"/>
      <c r="I18" s="59"/>
      <c r="J18" s="59"/>
      <c r="K18" s="59"/>
      <c r="L18" s="59"/>
      <c r="M18" s="59"/>
      <c r="N18" s="59"/>
      <c r="O18" s="59"/>
      <c r="P18" s="59"/>
      <c r="Q18" s="59"/>
    </row>
    <row r="19" spans="2:17" x14ac:dyDescent="0.2">
      <c r="B19" s="77" t="s">
        <v>8</v>
      </c>
      <c r="C19" s="77"/>
      <c r="D19" s="77"/>
      <c r="E19" s="59"/>
      <c r="F19" s="59"/>
      <c r="G19" s="59"/>
      <c r="H19" s="59"/>
      <c r="I19" s="59"/>
      <c r="J19" s="59"/>
      <c r="K19" s="59"/>
      <c r="L19" s="59"/>
      <c r="M19" s="59"/>
      <c r="N19" s="59"/>
      <c r="O19" s="59"/>
      <c r="P19" s="59"/>
      <c r="Q19" s="59"/>
    </row>
    <row r="20" spans="2:17" x14ac:dyDescent="0.2">
      <c r="B20" s="78" t="s">
        <v>9</v>
      </c>
      <c r="C20" s="78"/>
      <c r="D20" s="78"/>
      <c r="E20" s="59"/>
      <c r="F20" s="59"/>
      <c r="G20" s="59"/>
      <c r="I20" s="59"/>
      <c r="J20" s="59"/>
      <c r="K20" s="59"/>
      <c r="L20" s="59"/>
      <c r="M20" s="59"/>
      <c r="N20" s="59"/>
      <c r="O20" s="59"/>
      <c r="P20" s="59"/>
      <c r="Q20" s="59"/>
    </row>
    <row r="21" spans="2:17" x14ac:dyDescent="0.2">
      <c r="B21" s="76" t="s">
        <v>10</v>
      </c>
      <c r="C21" s="76"/>
      <c r="D21" s="76"/>
      <c r="E21" s="59"/>
      <c r="F21" s="59"/>
      <c r="G21" s="59"/>
      <c r="H21" s="59"/>
      <c r="I21" s="59"/>
      <c r="J21" s="59"/>
      <c r="K21" s="59"/>
      <c r="L21" s="59"/>
      <c r="M21" s="59"/>
      <c r="N21" s="59"/>
      <c r="O21" s="59"/>
      <c r="P21" s="59"/>
      <c r="Q21" s="59"/>
    </row>
    <row r="22" spans="2:17" x14ac:dyDescent="0.2">
      <c r="B22" s="89" t="s">
        <v>11</v>
      </c>
      <c r="C22" s="89"/>
      <c r="D22" s="89"/>
      <c r="F22" s="59"/>
      <c r="G22" s="59"/>
      <c r="H22" s="59"/>
      <c r="I22" s="59"/>
      <c r="J22" s="59"/>
      <c r="K22" s="59"/>
      <c r="L22" s="59"/>
      <c r="M22" s="59"/>
      <c r="N22" s="59"/>
      <c r="O22" s="59"/>
      <c r="P22" s="59"/>
      <c r="Q22" s="59"/>
    </row>
    <row r="23" spans="2:17" x14ac:dyDescent="0.2">
      <c r="B23" s="59"/>
      <c r="C23" s="59"/>
      <c r="D23" s="59"/>
      <c r="E23" s="59"/>
      <c r="F23" s="59"/>
      <c r="G23" s="59"/>
      <c r="H23" s="59"/>
      <c r="I23" s="59"/>
      <c r="J23" s="59"/>
      <c r="K23" s="59"/>
      <c r="L23" s="59"/>
      <c r="M23" s="59"/>
      <c r="N23" s="59"/>
      <c r="O23" s="59"/>
      <c r="P23" s="59"/>
      <c r="Q23" s="59"/>
    </row>
    <row r="24" spans="2:17" x14ac:dyDescent="0.2">
      <c r="B24" s="59" t="s">
        <v>12</v>
      </c>
      <c r="C24" s="59"/>
      <c r="D24" s="59"/>
      <c r="E24" s="59"/>
      <c r="F24" s="59"/>
      <c r="G24" s="59"/>
      <c r="H24" s="59"/>
      <c r="I24" s="59"/>
      <c r="J24" s="78"/>
      <c r="K24" s="59"/>
      <c r="L24" s="59"/>
      <c r="M24" s="59"/>
      <c r="N24" s="59"/>
      <c r="O24" s="59"/>
      <c r="P24" s="59"/>
      <c r="Q24" s="59"/>
    </row>
    <row r="25" spans="2:17" x14ac:dyDescent="0.2">
      <c r="B25" s="59" t="s">
        <v>13</v>
      </c>
      <c r="C25" s="59"/>
      <c r="D25" s="59"/>
      <c r="E25" s="59"/>
      <c r="F25" s="59"/>
      <c r="G25" s="59"/>
      <c r="H25" s="59"/>
      <c r="I25" s="59"/>
      <c r="J25" s="59"/>
      <c r="K25" s="59"/>
      <c r="L25" s="59"/>
      <c r="M25" s="59"/>
      <c r="N25" s="59"/>
      <c r="O25" s="59"/>
      <c r="P25" s="59"/>
      <c r="Q25" s="59"/>
    </row>
    <row r="26" spans="2:17" x14ac:dyDescent="0.2">
      <c r="B26" s="59" t="s">
        <v>14</v>
      </c>
      <c r="C26" s="59"/>
      <c r="D26" s="59"/>
      <c r="E26" s="59"/>
      <c r="F26" s="59"/>
      <c r="G26" s="59"/>
      <c r="H26" s="59"/>
      <c r="I26" s="59"/>
      <c r="J26" s="59"/>
      <c r="K26" s="59"/>
      <c r="L26" s="59"/>
      <c r="M26" s="59"/>
      <c r="N26" s="59"/>
      <c r="O26" s="59"/>
      <c r="P26" s="59"/>
      <c r="Q26" s="59"/>
    </row>
    <row r="27" spans="2:17" x14ac:dyDescent="0.2">
      <c r="B27" s="90" t="s">
        <v>15</v>
      </c>
      <c r="C27" s="90"/>
      <c r="D27" s="90"/>
      <c r="E27" s="59"/>
      <c r="F27" s="59"/>
      <c r="G27" s="59"/>
      <c r="H27" s="59"/>
      <c r="I27" s="59"/>
      <c r="J27" s="59"/>
      <c r="K27" s="59"/>
      <c r="L27" s="59"/>
      <c r="M27" s="59"/>
      <c r="N27" s="59"/>
      <c r="O27" s="59"/>
      <c r="P27" s="59"/>
      <c r="Q27" s="59"/>
    </row>
    <row r="28" spans="2:17" x14ac:dyDescent="0.2">
      <c r="B28" s="59" t="s">
        <v>16</v>
      </c>
      <c r="C28" s="59"/>
      <c r="D28" s="59"/>
      <c r="E28" s="59"/>
      <c r="F28" s="59"/>
      <c r="G28" s="59"/>
      <c r="H28" s="59"/>
      <c r="J28" s="59"/>
      <c r="K28" s="59"/>
      <c r="L28" s="59"/>
      <c r="M28" s="59"/>
      <c r="N28" s="59"/>
      <c r="O28" s="59"/>
      <c r="P28" s="59"/>
      <c r="Q28" s="59"/>
    </row>
    <row r="29" spans="2:17" x14ac:dyDescent="0.2">
      <c r="B29" s="135"/>
      <c r="C29" s="135"/>
      <c r="D29" s="135"/>
      <c r="E29" s="135"/>
      <c r="F29" s="135"/>
      <c r="G29" s="135"/>
      <c r="H29" s="135"/>
      <c r="I29" s="135"/>
      <c r="J29" s="135"/>
      <c r="K29" s="59"/>
      <c r="L29" s="59"/>
      <c r="M29" s="59"/>
      <c r="N29" s="59"/>
      <c r="O29" s="59"/>
      <c r="P29" s="59"/>
      <c r="Q29" s="59"/>
    </row>
    <row r="30" spans="2:17" x14ac:dyDescent="0.2">
      <c r="B30" s="59"/>
      <c r="C30" s="59"/>
      <c r="D30" s="59"/>
      <c r="E30" s="59"/>
      <c r="F30" s="59"/>
      <c r="G30" s="59"/>
      <c r="H30" s="59"/>
      <c r="I30" s="59"/>
      <c r="J30" s="59"/>
      <c r="K30" s="59"/>
      <c r="L30" s="59"/>
      <c r="M30" s="59"/>
      <c r="N30" s="59"/>
      <c r="O30" s="59"/>
      <c r="P30" s="59"/>
      <c r="Q30" s="59"/>
    </row>
    <row r="31" spans="2:17" x14ac:dyDescent="0.2">
      <c r="B31" s="59" t="s">
        <v>17</v>
      </c>
      <c r="C31" s="59"/>
      <c r="D31" s="59"/>
      <c r="E31" s="59"/>
      <c r="F31" s="59"/>
      <c r="G31" s="59"/>
      <c r="H31" s="59"/>
      <c r="I31" s="59"/>
      <c r="J31" s="59"/>
      <c r="K31" s="59"/>
      <c r="L31" s="59"/>
      <c r="M31" s="59"/>
      <c r="N31" s="59"/>
      <c r="O31" s="59"/>
      <c r="P31" s="59"/>
      <c r="Q31" s="59"/>
    </row>
    <row r="32" spans="2:17" x14ac:dyDescent="0.2">
      <c r="B32" s="59"/>
      <c r="C32" s="59"/>
      <c r="D32" s="59"/>
      <c r="E32" s="59"/>
      <c r="F32" s="59"/>
      <c r="G32" s="59"/>
      <c r="H32" s="59"/>
      <c r="I32" s="59"/>
      <c r="J32" s="59"/>
      <c r="K32" s="59"/>
      <c r="L32" s="59"/>
      <c r="M32" s="59"/>
      <c r="N32" s="59"/>
      <c r="O32" s="59"/>
      <c r="P32" s="59"/>
      <c r="Q32" s="59"/>
    </row>
    <row r="33" spans="2:17" x14ac:dyDescent="0.2">
      <c r="B33" s="489" t="s">
        <v>18</v>
      </c>
      <c r="C33" s="490"/>
      <c r="D33" s="490"/>
      <c r="E33" s="490"/>
      <c r="F33" s="490"/>
      <c r="G33" s="490"/>
      <c r="H33" s="59"/>
      <c r="I33" s="59"/>
      <c r="J33" s="59"/>
      <c r="K33" s="59"/>
      <c r="L33" s="59"/>
      <c r="M33" s="59"/>
      <c r="N33" s="59"/>
      <c r="O33" s="59"/>
      <c r="P33" s="59"/>
      <c r="Q33" s="59"/>
    </row>
    <row r="34" spans="2:17" x14ac:dyDescent="0.2">
      <c r="B34" s="491" t="s">
        <v>19</v>
      </c>
      <c r="C34" s="491"/>
      <c r="D34" s="491" t="s">
        <v>20</v>
      </c>
      <c r="E34" s="491" t="s">
        <v>21</v>
      </c>
      <c r="F34" s="491" t="s">
        <v>22</v>
      </c>
      <c r="G34" s="491" t="s">
        <v>23</v>
      </c>
      <c r="H34" s="59"/>
      <c r="I34" s="59"/>
      <c r="J34" s="59"/>
      <c r="K34" s="59"/>
      <c r="L34" s="59"/>
      <c r="M34" s="59"/>
      <c r="N34" s="59"/>
      <c r="O34" s="59"/>
      <c r="P34" s="59"/>
      <c r="Q34" s="59"/>
    </row>
    <row r="35" spans="2:17" x14ac:dyDescent="0.2">
      <c r="B35" s="491"/>
      <c r="C35" s="491"/>
      <c r="D35" s="491"/>
      <c r="E35" s="491"/>
      <c r="F35" s="491"/>
      <c r="G35" s="491"/>
      <c r="H35" s="59"/>
      <c r="I35" s="59"/>
      <c r="J35" s="59"/>
      <c r="K35" s="59"/>
      <c r="L35" s="59"/>
      <c r="M35" s="59"/>
      <c r="N35" s="59"/>
      <c r="O35" s="59"/>
      <c r="P35" s="59"/>
      <c r="Q35" s="59"/>
    </row>
    <row r="36" spans="2:17" x14ac:dyDescent="0.2">
      <c r="B36" s="491"/>
      <c r="C36" s="491"/>
      <c r="D36" s="491"/>
      <c r="E36" s="491"/>
      <c r="F36" s="491"/>
      <c r="G36" s="491"/>
      <c r="H36" s="59"/>
      <c r="I36" s="59"/>
      <c r="J36" s="59"/>
      <c r="K36" s="59"/>
      <c r="L36" s="59"/>
      <c r="M36" s="59"/>
      <c r="N36" s="59"/>
      <c r="O36" s="59"/>
      <c r="P36" s="59"/>
      <c r="Q36" s="59"/>
    </row>
    <row r="37" spans="2:17" x14ac:dyDescent="0.2">
      <c r="B37" s="491"/>
      <c r="C37" s="491"/>
      <c r="D37" s="491"/>
      <c r="E37" s="491"/>
      <c r="F37" s="491"/>
      <c r="G37" s="491"/>
      <c r="H37" s="59"/>
      <c r="I37" s="59"/>
      <c r="J37" s="59"/>
      <c r="K37" s="59"/>
      <c r="L37" s="59"/>
      <c r="M37" s="59"/>
      <c r="N37" s="59"/>
      <c r="O37" s="59"/>
      <c r="P37" s="59"/>
      <c r="Q37" s="59"/>
    </row>
    <row r="38" spans="2:17" x14ac:dyDescent="0.2">
      <c r="B38" s="491"/>
      <c r="C38" s="491"/>
      <c r="D38" s="491"/>
      <c r="E38" s="491"/>
      <c r="F38" s="491"/>
      <c r="G38" s="491"/>
      <c r="H38" s="59"/>
      <c r="I38" s="59"/>
      <c r="J38" s="59"/>
      <c r="K38" s="59"/>
      <c r="L38" s="59"/>
      <c r="M38" s="59"/>
      <c r="N38" s="59"/>
      <c r="O38" s="59"/>
      <c r="P38" s="59"/>
      <c r="Q38" s="59"/>
    </row>
    <row r="39" spans="2:17" x14ac:dyDescent="0.2">
      <c r="B39" s="492" t="s">
        <v>24</v>
      </c>
      <c r="C39" s="492"/>
      <c r="D39" s="129">
        <v>1.5</v>
      </c>
      <c r="E39" s="286" t="s">
        <v>25</v>
      </c>
      <c r="F39" s="130">
        <v>200</v>
      </c>
      <c r="G39" s="132">
        <f>F39*D39</f>
        <v>300</v>
      </c>
      <c r="H39" s="59"/>
      <c r="I39" s="59"/>
      <c r="J39" s="59"/>
      <c r="K39" s="59"/>
      <c r="L39" s="59"/>
      <c r="M39" s="59"/>
      <c r="N39" s="59"/>
      <c r="O39" s="59"/>
      <c r="P39" s="59"/>
      <c r="Q39" s="59"/>
    </row>
    <row r="40" spans="2:17" x14ac:dyDescent="0.2">
      <c r="B40" s="59"/>
      <c r="C40" s="59"/>
      <c r="D40" s="59"/>
      <c r="E40" s="59"/>
      <c r="F40" s="59"/>
      <c r="G40" s="59"/>
      <c r="H40" s="59"/>
      <c r="I40" s="59"/>
      <c r="J40" s="59"/>
      <c r="K40" s="59"/>
      <c r="L40" s="59"/>
      <c r="M40" s="59"/>
      <c r="N40" s="59"/>
      <c r="O40" s="59"/>
      <c r="P40" s="59"/>
      <c r="Q40" s="59"/>
    </row>
    <row r="41" spans="2:17" x14ac:dyDescent="0.2">
      <c r="B41" s="59"/>
      <c r="C41" s="59"/>
      <c r="D41" s="59"/>
      <c r="E41" s="59"/>
      <c r="F41" s="59"/>
      <c r="G41" s="59"/>
      <c r="H41" s="59"/>
      <c r="I41" s="59" t="s">
        <v>26</v>
      </c>
      <c r="J41" s="59"/>
      <c r="K41" s="59"/>
      <c r="L41" s="59"/>
      <c r="M41" s="59"/>
      <c r="N41" s="59"/>
      <c r="O41" s="59"/>
      <c r="P41" s="59"/>
      <c r="Q41" s="59"/>
    </row>
    <row r="42" spans="2:17" x14ac:dyDescent="0.2">
      <c r="B42" s="59"/>
      <c r="C42" s="59"/>
      <c r="D42" s="59"/>
      <c r="E42" s="59"/>
      <c r="F42" s="59"/>
      <c r="G42" s="59"/>
      <c r="H42" s="59"/>
      <c r="I42" s="59" t="s">
        <v>27</v>
      </c>
      <c r="J42" s="59"/>
      <c r="K42" s="59"/>
      <c r="L42" s="59"/>
      <c r="M42" s="59"/>
      <c r="N42" s="59"/>
      <c r="O42" s="59"/>
      <c r="P42" s="59"/>
      <c r="Q42" s="59"/>
    </row>
    <row r="43" spans="2:17" x14ac:dyDescent="0.2">
      <c r="B43" s="59"/>
      <c r="C43" s="59"/>
      <c r="D43" s="59"/>
      <c r="E43" s="59"/>
      <c r="F43" s="59"/>
      <c r="G43" s="59"/>
      <c r="H43" s="59"/>
      <c r="I43" s="59"/>
      <c r="J43" s="59"/>
      <c r="K43" s="59"/>
      <c r="L43" s="59"/>
      <c r="M43" s="59"/>
      <c r="N43" s="59"/>
      <c r="O43" s="59"/>
      <c r="P43" s="59"/>
      <c r="Q43" s="59"/>
    </row>
    <row r="44" spans="2:17" x14ac:dyDescent="0.2">
      <c r="B44" s="59"/>
      <c r="C44" s="59"/>
      <c r="D44" s="59"/>
      <c r="E44" s="59"/>
      <c r="F44" s="59"/>
      <c r="G44" s="59"/>
      <c r="H44" s="59"/>
      <c r="I44" s="59" t="s">
        <v>28</v>
      </c>
      <c r="J44" s="59"/>
      <c r="K44" s="59"/>
      <c r="L44" s="59"/>
      <c r="M44" s="59"/>
      <c r="N44" s="59"/>
      <c r="O44" s="59"/>
      <c r="P44" s="59"/>
      <c r="Q44" s="59"/>
    </row>
    <row r="45" spans="2:17" x14ac:dyDescent="0.2">
      <c r="B45" s="59"/>
      <c r="C45" s="59"/>
      <c r="D45" s="59"/>
      <c r="E45" s="59"/>
      <c r="F45" s="59"/>
      <c r="G45" s="59"/>
      <c r="H45" s="59"/>
      <c r="I45" s="59"/>
      <c r="J45" s="59"/>
      <c r="K45" s="59"/>
      <c r="L45" s="59"/>
      <c r="M45" s="59"/>
      <c r="N45" s="59"/>
      <c r="O45" s="59"/>
      <c r="P45" s="59"/>
      <c r="Q45" s="59"/>
    </row>
    <row r="46" spans="2:17" x14ac:dyDescent="0.2">
      <c r="B46" s="59" t="s">
        <v>29</v>
      </c>
      <c r="C46" s="59"/>
      <c r="D46" s="59"/>
      <c r="E46" s="59"/>
      <c r="F46" s="59"/>
      <c r="G46" s="59"/>
      <c r="H46" s="59"/>
      <c r="I46" s="59"/>
      <c r="J46" s="59"/>
      <c r="K46" s="59"/>
      <c r="L46" s="59"/>
      <c r="M46" s="59"/>
      <c r="N46" s="59"/>
      <c r="O46" s="59"/>
      <c r="P46" s="59"/>
      <c r="Q46" s="59"/>
    </row>
    <row r="47" spans="2:17" x14ac:dyDescent="0.2">
      <c r="B47" s="59"/>
      <c r="C47" s="59"/>
      <c r="D47" s="59"/>
      <c r="E47" s="59"/>
      <c r="F47" s="59"/>
      <c r="G47" s="59"/>
      <c r="H47" s="59"/>
      <c r="I47" s="59"/>
      <c r="J47" s="59"/>
      <c r="K47" s="59"/>
      <c r="L47" s="59"/>
      <c r="M47" s="59"/>
      <c r="N47" s="59"/>
      <c r="O47" s="59"/>
      <c r="P47" s="59"/>
      <c r="Q47" s="59"/>
    </row>
    <row r="48" spans="2:17" x14ac:dyDescent="0.2">
      <c r="B48" s="59" t="s">
        <v>30</v>
      </c>
      <c r="C48" s="59"/>
      <c r="D48" s="59"/>
      <c r="E48" s="59"/>
      <c r="F48" s="59"/>
      <c r="G48" s="59"/>
      <c r="H48" s="59"/>
      <c r="I48" s="59"/>
      <c r="J48" s="59"/>
      <c r="K48" s="59"/>
      <c r="L48" s="59"/>
      <c r="M48" s="59"/>
      <c r="N48" s="59"/>
      <c r="O48" s="59"/>
      <c r="P48" s="59"/>
      <c r="Q48" s="59"/>
    </row>
    <row r="49" spans="2:17" x14ac:dyDescent="0.2">
      <c r="B49" s="493"/>
      <c r="C49" s="493"/>
      <c r="D49" s="493"/>
      <c r="E49" s="493"/>
      <c r="F49" s="59"/>
      <c r="G49" s="59"/>
      <c r="H49" s="59"/>
      <c r="I49" s="59"/>
      <c r="J49" s="59"/>
      <c r="K49" s="59"/>
      <c r="L49" s="59"/>
      <c r="M49" s="59"/>
      <c r="N49" s="59"/>
      <c r="O49" s="59"/>
      <c r="P49" s="59"/>
      <c r="Q49" s="59"/>
    </row>
    <row r="50" spans="2:17" x14ac:dyDescent="0.2">
      <c r="B50" s="59" t="s">
        <v>31</v>
      </c>
      <c r="C50" s="59"/>
      <c r="D50" s="59"/>
      <c r="E50" s="59"/>
      <c r="F50" s="59"/>
      <c r="G50" s="59"/>
      <c r="H50" s="59"/>
      <c r="I50" s="59"/>
      <c r="J50" s="59"/>
      <c r="K50" s="59"/>
      <c r="L50" s="59"/>
      <c r="M50" s="59"/>
      <c r="N50" s="59"/>
      <c r="O50" s="59"/>
      <c r="P50" s="59"/>
      <c r="Q50" s="59"/>
    </row>
    <row r="51" spans="2:17" ht="13.5" thickBot="1" x14ac:dyDescent="0.25">
      <c r="B51" s="59" t="s">
        <v>32</v>
      </c>
      <c r="C51" s="59"/>
      <c r="D51" s="59"/>
      <c r="E51" s="59"/>
      <c r="F51" s="59"/>
      <c r="G51" s="59"/>
      <c r="H51" s="59"/>
      <c r="I51" s="59"/>
      <c r="J51" s="59"/>
      <c r="K51" s="59"/>
      <c r="L51" s="59"/>
      <c r="M51" s="59"/>
      <c r="N51" s="59"/>
      <c r="O51" s="59"/>
      <c r="P51" s="59"/>
      <c r="Q51" s="59"/>
    </row>
    <row r="52" spans="2:17" ht="13.5" thickBot="1" x14ac:dyDescent="0.25">
      <c r="B52" s="463" t="s">
        <v>33</v>
      </c>
      <c r="C52" s="464" t="s">
        <v>34</v>
      </c>
      <c r="D52" s="463">
        <v>119</v>
      </c>
      <c r="E52" s="464" t="s">
        <v>35</v>
      </c>
      <c r="F52" s="463">
        <v>100</v>
      </c>
      <c r="G52" s="464" t="s">
        <v>36</v>
      </c>
      <c r="H52" s="463" t="s">
        <v>37</v>
      </c>
      <c r="I52" s="59"/>
      <c r="J52" s="59"/>
      <c r="K52" s="59"/>
      <c r="L52" s="59"/>
      <c r="M52" s="59"/>
      <c r="N52" s="59"/>
      <c r="O52" s="59"/>
      <c r="P52" s="59"/>
      <c r="Q52" s="59"/>
    </row>
    <row r="53" spans="2:17" ht="13.5" thickBot="1" x14ac:dyDescent="0.25">
      <c r="B53" s="79">
        <v>119</v>
      </c>
      <c r="C53" s="80" t="s">
        <v>38</v>
      </c>
      <c r="D53" s="81">
        <v>119</v>
      </c>
      <c r="E53" s="80" t="s">
        <v>39</v>
      </c>
      <c r="F53" s="81">
        <v>100</v>
      </c>
      <c r="G53" s="80" t="s">
        <v>40</v>
      </c>
      <c r="H53" s="82">
        <v>100</v>
      </c>
      <c r="I53" s="463" t="s">
        <v>41</v>
      </c>
      <c r="J53" s="59"/>
      <c r="K53" s="59"/>
      <c r="L53" s="59"/>
      <c r="M53" s="59"/>
      <c r="N53" s="59"/>
      <c r="O53" s="59"/>
      <c r="P53" s="59"/>
      <c r="Q53" s="59"/>
    </row>
    <row r="54" spans="2:17" ht="13.5" thickBot="1" x14ac:dyDescent="0.25">
      <c r="B54" s="83">
        <v>272.5</v>
      </c>
      <c r="C54" s="84" t="s">
        <v>38</v>
      </c>
      <c r="D54" s="85">
        <v>119</v>
      </c>
      <c r="E54" s="84" t="s">
        <v>39</v>
      </c>
      <c r="F54" s="85">
        <v>100</v>
      </c>
      <c r="G54" s="84" t="s">
        <v>40</v>
      </c>
      <c r="H54" s="86">
        <f>B54/119*100</f>
        <v>228.99159663865544</v>
      </c>
      <c r="I54" s="463" t="s">
        <v>42</v>
      </c>
      <c r="J54" s="59"/>
      <c r="K54" s="59"/>
      <c r="L54" s="59"/>
      <c r="M54" s="59"/>
      <c r="N54" s="59"/>
      <c r="O54" s="59"/>
      <c r="P54" s="59"/>
      <c r="Q54" s="59"/>
    </row>
    <row r="55" spans="2:17" x14ac:dyDescent="0.2">
      <c r="B55" s="59"/>
      <c r="C55" s="59"/>
      <c r="D55" s="59"/>
      <c r="E55" s="59"/>
      <c r="F55" s="59"/>
      <c r="G55" s="59"/>
      <c r="H55" s="59"/>
      <c r="I55" s="59"/>
      <c r="J55" s="59"/>
      <c r="K55" s="59"/>
      <c r="L55" s="59"/>
      <c r="M55" s="59"/>
      <c r="N55" s="59"/>
      <c r="O55" s="59"/>
      <c r="P55" s="59"/>
      <c r="Q55" s="59"/>
    </row>
    <row r="56" spans="2:17" x14ac:dyDescent="0.2">
      <c r="B56" s="59"/>
      <c r="C56" s="59"/>
      <c r="D56" s="59"/>
      <c r="E56" s="59"/>
      <c r="F56" s="59"/>
      <c r="G56" s="59"/>
      <c r="H56" s="59"/>
      <c r="I56" s="59"/>
      <c r="J56" s="59"/>
      <c r="K56" s="59"/>
      <c r="L56" s="59"/>
      <c r="M56" s="59"/>
      <c r="N56" s="59"/>
      <c r="O56" s="59"/>
      <c r="P56" s="59"/>
      <c r="Q56" s="59"/>
    </row>
    <row r="57" spans="2:17" ht="15.75" x14ac:dyDescent="0.25">
      <c r="B57" s="405" t="s">
        <v>43</v>
      </c>
      <c r="C57" s="405"/>
      <c r="D57" s="405"/>
      <c r="E57" s="405"/>
      <c r="F57" s="191"/>
      <c r="G57" s="191"/>
      <c r="H57" s="59"/>
      <c r="I57" s="59"/>
      <c r="J57" s="59"/>
      <c r="K57" s="59"/>
      <c r="L57" s="59"/>
      <c r="M57" s="59"/>
      <c r="N57" s="59"/>
      <c r="O57" s="59"/>
      <c r="P57" s="59"/>
      <c r="Q57" s="59"/>
    </row>
    <row r="58" spans="2:17" ht="15.75" x14ac:dyDescent="0.25">
      <c r="B58" s="190"/>
      <c r="C58" s="191"/>
      <c r="D58" s="191"/>
      <c r="E58" s="191"/>
      <c r="F58" s="191"/>
      <c r="G58" s="191"/>
      <c r="H58" s="59"/>
      <c r="I58" s="59"/>
      <c r="J58" s="59"/>
      <c r="K58" s="59"/>
      <c r="L58" s="59"/>
      <c r="M58" s="59"/>
      <c r="N58" s="59"/>
      <c r="O58" s="59"/>
      <c r="P58" s="59"/>
      <c r="Q58" s="59"/>
    </row>
    <row r="59" spans="2:17" ht="15.75" x14ac:dyDescent="0.25">
      <c r="B59" s="191" t="s">
        <v>44</v>
      </c>
      <c r="C59" s="191"/>
      <c r="D59" s="191"/>
      <c r="E59" s="191"/>
      <c r="F59" s="191"/>
      <c r="G59" s="191"/>
      <c r="H59" s="59"/>
      <c r="I59" s="59"/>
      <c r="J59" s="59"/>
      <c r="K59" s="59"/>
      <c r="L59" s="59"/>
      <c r="M59" s="59"/>
      <c r="N59" s="59"/>
      <c r="O59" s="59"/>
      <c r="P59" s="59"/>
      <c r="Q59" s="59"/>
    </row>
    <row r="60" spans="2:17" ht="15.75" x14ac:dyDescent="0.25">
      <c r="B60" s="191" t="s">
        <v>45</v>
      </c>
      <c r="C60" s="191"/>
      <c r="D60" s="191"/>
      <c r="E60" s="191"/>
      <c r="F60" s="191"/>
      <c r="G60" s="191"/>
      <c r="H60" s="59"/>
      <c r="I60" s="59"/>
      <c r="J60" s="59"/>
      <c r="K60" s="59"/>
      <c r="L60" s="59"/>
      <c r="M60" s="59"/>
      <c r="N60" s="59"/>
      <c r="O60" s="59"/>
      <c r="P60" s="59"/>
      <c r="Q60" s="59"/>
    </row>
    <row r="61" spans="2:17" ht="15.75" x14ac:dyDescent="0.25">
      <c r="B61" s="191" t="s">
        <v>46</v>
      </c>
      <c r="C61" s="191"/>
      <c r="D61" s="191"/>
      <c r="E61" s="191"/>
      <c r="F61" s="191"/>
      <c r="G61" s="191"/>
      <c r="H61" s="59"/>
      <c r="I61" s="59"/>
      <c r="J61" s="59"/>
      <c r="K61" s="59"/>
      <c r="L61" s="59"/>
      <c r="M61" s="59"/>
      <c r="N61" s="59"/>
      <c r="O61" s="59"/>
      <c r="P61" s="59"/>
      <c r="Q61" s="59"/>
    </row>
    <row r="62" spans="2:17" ht="15.75" x14ac:dyDescent="0.25">
      <c r="B62" s="191"/>
      <c r="C62" s="191"/>
      <c r="D62" s="191"/>
      <c r="E62" s="191"/>
      <c r="F62" s="191"/>
      <c r="G62" s="191"/>
      <c r="H62" s="59"/>
      <c r="I62" s="59"/>
      <c r="J62" s="59"/>
      <c r="K62" s="59"/>
      <c r="L62" s="59"/>
      <c r="M62" s="59"/>
      <c r="N62" s="59"/>
      <c r="O62" s="59"/>
      <c r="P62" s="59"/>
      <c r="Q62" s="59"/>
    </row>
    <row r="63" spans="2:17" ht="15.75" x14ac:dyDescent="0.25">
      <c r="B63" s="190"/>
      <c r="C63" s="190"/>
      <c r="D63" s="190"/>
      <c r="E63" s="190"/>
      <c r="F63" s="190"/>
      <c r="H63" s="59"/>
      <c r="I63" s="59"/>
      <c r="J63" s="59"/>
      <c r="K63" s="59"/>
      <c r="L63" s="59"/>
      <c r="M63" s="59"/>
      <c r="N63" s="59"/>
      <c r="O63" s="59"/>
      <c r="P63" s="59"/>
      <c r="Q63" s="59"/>
    </row>
    <row r="64" spans="2:17" x14ac:dyDescent="0.2">
      <c r="H64" s="59"/>
      <c r="I64" s="59"/>
      <c r="J64" s="59"/>
      <c r="K64" s="59"/>
      <c r="L64" s="59"/>
      <c r="M64" s="59"/>
      <c r="N64" s="59"/>
      <c r="O64" s="59"/>
      <c r="P64" s="59"/>
      <c r="Q64" s="59"/>
    </row>
    <row r="65" spans="2:17" x14ac:dyDescent="0.2">
      <c r="B65" s="59"/>
      <c r="C65" s="59"/>
      <c r="D65" s="59"/>
      <c r="E65" s="59"/>
      <c r="F65" s="59"/>
      <c r="G65" s="59"/>
      <c r="H65" s="59"/>
      <c r="I65" s="59"/>
      <c r="J65" s="59"/>
      <c r="K65" s="59"/>
      <c r="L65" s="59"/>
      <c r="M65" s="59"/>
      <c r="N65" s="59"/>
      <c r="O65" s="59"/>
      <c r="P65" s="59"/>
      <c r="Q65" s="59"/>
    </row>
    <row r="66" spans="2:17" x14ac:dyDescent="0.2">
      <c r="B66" s="59"/>
      <c r="C66" s="59"/>
      <c r="D66" s="59"/>
      <c r="E66" s="59"/>
      <c r="F66" s="59"/>
      <c r="G66" s="59"/>
      <c r="H66" s="59"/>
      <c r="I66" s="59"/>
      <c r="J66" s="59"/>
      <c r="K66" s="59"/>
      <c r="L66" s="59"/>
      <c r="M66" s="59"/>
      <c r="N66" s="59"/>
      <c r="O66" s="59"/>
      <c r="P66" s="59"/>
      <c r="Q66" s="59"/>
    </row>
    <row r="67" spans="2:17" x14ac:dyDescent="0.2">
      <c r="B67" s="59"/>
      <c r="C67" s="59"/>
      <c r="D67" s="59"/>
      <c r="E67" s="59"/>
      <c r="F67" s="59"/>
      <c r="G67" s="59"/>
      <c r="H67" s="59"/>
      <c r="I67" s="59"/>
      <c r="J67" s="59"/>
      <c r="K67" s="59"/>
      <c r="L67" s="59"/>
      <c r="M67" s="59"/>
      <c r="N67" s="59"/>
      <c r="O67" s="59"/>
      <c r="P67" s="59"/>
      <c r="Q67" s="59"/>
    </row>
    <row r="68" spans="2:17" x14ac:dyDescent="0.2">
      <c r="B68" s="59"/>
      <c r="C68" s="59"/>
      <c r="D68" s="59"/>
      <c r="E68" s="59"/>
      <c r="F68" s="59"/>
      <c r="G68" s="59"/>
      <c r="H68" s="59"/>
      <c r="I68" s="59"/>
      <c r="J68" s="59"/>
      <c r="K68" s="59"/>
      <c r="L68" s="59"/>
      <c r="M68" s="59"/>
      <c r="N68" s="59"/>
      <c r="O68" s="59"/>
      <c r="P68" s="59"/>
      <c r="Q68" s="59"/>
    </row>
    <row r="69" spans="2:17" x14ac:dyDescent="0.2">
      <c r="B69" s="59"/>
      <c r="C69" s="59"/>
      <c r="D69" s="59"/>
      <c r="E69" s="59"/>
      <c r="F69" s="59"/>
      <c r="G69" s="59"/>
      <c r="H69" s="59"/>
      <c r="I69" s="59"/>
      <c r="J69" s="59"/>
      <c r="K69" s="59"/>
      <c r="L69" s="59"/>
      <c r="M69" s="59"/>
      <c r="N69" s="59"/>
      <c r="O69" s="59"/>
      <c r="P69" s="59"/>
      <c r="Q69" s="59"/>
    </row>
    <row r="70" spans="2:17" x14ac:dyDescent="0.2">
      <c r="B70" s="59"/>
      <c r="C70" s="59"/>
      <c r="D70" s="59"/>
      <c r="E70" s="59"/>
      <c r="F70" s="59"/>
      <c r="G70" s="59"/>
      <c r="H70" s="59"/>
      <c r="I70" s="59"/>
      <c r="J70" s="59"/>
      <c r="K70" s="59"/>
      <c r="L70" s="59"/>
      <c r="M70" s="59"/>
      <c r="N70" s="59"/>
      <c r="O70" s="59"/>
      <c r="P70" s="59"/>
      <c r="Q70" s="59"/>
    </row>
    <row r="71" spans="2:17" x14ac:dyDescent="0.2">
      <c r="B71" s="59"/>
      <c r="C71" s="59"/>
      <c r="D71" s="59"/>
      <c r="E71" s="59"/>
      <c r="F71" s="59"/>
      <c r="G71" s="59"/>
      <c r="H71" s="59"/>
      <c r="I71" s="59"/>
      <c r="J71" s="59"/>
      <c r="K71" s="59"/>
      <c r="L71" s="59"/>
      <c r="M71" s="59"/>
      <c r="N71" s="59"/>
      <c r="O71" s="59"/>
      <c r="P71" s="59"/>
      <c r="Q71" s="59"/>
    </row>
    <row r="72" spans="2:17" x14ac:dyDescent="0.2">
      <c r="B72" s="59"/>
      <c r="C72" s="59"/>
      <c r="D72" s="59"/>
      <c r="E72" s="59"/>
      <c r="F72" s="59"/>
      <c r="G72" s="59"/>
      <c r="H72" s="59"/>
      <c r="I72" s="59"/>
      <c r="J72" s="59"/>
      <c r="K72" s="59"/>
      <c r="L72" s="59"/>
      <c r="M72" s="59"/>
      <c r="N72" s="59"/>
      <c r="O72" s="59"/>
      <c r="P72" s="59"/>
      <c r="Q72" s="59"/>
    </row>
    <row r="73" spans="2:17" x14ac:dyDescent="0.2">
      <c r="B73" s="59"/>
      <c r="C73" s="59"/>
      <c r="D73" s="59"/>
      <c r="E73" s="59"/>
      <c r="F73" s="59"/>
      <c r="G73" s="59"/>
      <c r="H73" s="59"/>
      <c r="I73" s="59"/>
      <c r="J73" s="59"/>
      <c r="K73" s="59"/>
      <c r="L73" s="59"/>
      <c r="M73" s="59"/>
      <c r="N73" s="59"/>
      <c r="O73" s="59"/>
      <c r="P73" s="59"/>
      <c r="Q73" s="59"/>
    </row>
    <row r="74" spans="2:17" x14ac:dyDescent="0.2">
      <c r="B74" s="59"/>
      <c r="C74" s="59"/>
      <c r="D74" s="59"/>
      <c r="E74" s="59"/>
      <c r="F74" s="59"/>
      <c r="G74" s="59"/>
      <c r="H74" s="59"/>
      <c r="I74" s="59"/>
      <c r="J74" s="59"/>
      <c r="K74" s="59"/>
      <c r="L74" s="59"/>
      <c r="M74" s="59"/>
      <c r="N74" s="59"/>
      <c r="O74" s="59"/>
      <c r="P74" s="59"/>
      <c r="Q74" s="59"/>
    </row>
    <row r="75" spans="2:17" x14ac:dyDescent="0.2">
      <c r="B75" s="59"/>
      <c r="C75" s="59"/>
      <c r="D75" s="59"/>
      <c r="E75" s="59"/>
      <c r="F75" s="59"/>
      <c r="G75" s="59"/>
      <c r="H75" s="59"/>
      <c r="I75" s="59"/>
      <c r="J75" s="59"/>
      <c r="K75" s="59"/>
      <c r="L75" s="59"/>
      <c r="M75" s="59"/>
      <c r="N75" s="59"/>
      <c r="O75" s="59"/>
      <c r="P75" s="59"/>
      <c r="Q75" s="59"/>
    </row>
    <row r="76" spans="2:17" x14ac:dyDescent="0.2">
      <c r="B76" s="59"/>
      <c r="C76" s="59"/>
      <c r="D76" s="59"/>
      <c r="E76" s="59"/>
      <c r="F76" s="59"/>
      <c r="G76" s="59"/>
      <c r="H76" s="59"/>
      <c r="I76" s="59"/>
      <c r="J76" s="59"/>
      <c r="K76" s="59"/>
      <c r="L76" s="59"/>
      <c r="M76" s="59"/>
      <c r="N76" s="59"/>
      <c r="O76" s="59"/>
      <c r="P76" s="59"/>
      <c r="Q76" s="59"/>
    </row>
    <row r="77" spans="2:17" x14ac:dyDescent="0.2">
      <c r="B77" s="59"/>
      <c r="C77" s="59"/>
      <c r="D77" s="59"/>
      <c r="E77" s="59"/>
      <c r="F77" s="59"/>
      <c r="G77" s="59"/>
      <c r="H77" s="59"/>
      <c r="I77" s="59"/>
      <c r="J77" s="59"/>
      <c r="K77" s="59"/>
      <c r="L77" s="59"/>
      <c r="M77" s="59"/>
      <c r="N77" s="59"/>
      <c r="O77" s="59"/>
      <c r="P77" s="59"/>
      <c r="Q77" s="59"/>
    </row>
    <row r="78" spans="2:17" x14ac:dyDescent="0.2">
      <c r="B78" s="59"/>
      <c r="C78" s="59"/>
      <c r="D78" s="59"/>
      <c r="E78" s="59"/>
      <c r="F78" s="59"/>
      <c r="G78" s="59"/>
      <c r="H78" s="59"/>
      <c r="I78" s="59"/>
      <c r="J78" s="59"/>
      <c r="K78" s="59"/>
      <c r="L78" s="59"/>
      <c r="M78" s="59"/>
      <c r="N78" s="59"/>
      <c r="O78" s="59"/>
      <c r="P78" s="59"/>
      <c r="Q78" s="59"/>
    </row>
    <row r="79" spans="2:17" x14ac:dyDescent="0.2">
      <c r="B79" s="59"/>
      <c r="C79" s="59"/>
      <c r="D79" s="59"/>
      <c r="E79" s="59"/>
      <c r="F79" s="59"/>
      <c r="G79" s="59"/>
      <c r="H79" s="59"/>
      <c r="I79" s="59"/>
      <c r="J79" s="59"/>
      <c r="K79" s="59"/>
      <c r="L79" s="59"/>
      <c r="M79" s="59"/>
      <c r="N79" s="59"/>
      <c r="O79" s="59"/>
      <c r="P79" s="59"/>
      <c r="Q79" s="59"/>
    </row>
    <row r="80" spans="2:17" x14ac:dyDescent="0.2">
      <c r="B80" s="59"/>
      <c r="C80" s="59"/>
      <c r="D80" s="59"/>
      <c r="E80" s="59"/>
      <c r="F80" s="59"/>
      <c r="G80" s="59"/>
      <c r="H80" s="59"/>
      <c r="I80" s="59"/>
      <c r="J80" s="59"/>
      <c r="K80" s="59"/>
      <c r="L80" s="59"/>
      <c r="M80" s="59"/>
      <c r="N80" s="59"/>
      <c r="O80" s="59"/>
      <c r="P80" s="59"/>
      <c r="Q80" s="59"/>
    </row>
    <row r="81" spans="2:17" x14ac:dyDescent="0.2">
      <c r="B81" s="59"/>
      <c r="C81" s="59"/>
      <c r="D81" s="59"/>
      <c r="E81" s="59"/>
      <c r="F81" s="59"/>
      <c r="G81" s="59"/>
      <c r="H81" s="59"/>
      <c r="I81" s="59"/>
      <c r="J81" s="59"/>
      <c r="K81" s="59"/>
      <c r="L81" s="59"/>
      <c r="M81" s="59"/>
      <c r="N81" s="59"/>
      <c r="O81" s="59"/>
      <c r="P81" s="59"/>
      <c r="Q81" s="59"/>
    </row>
    <row r="82" spans="2:17" x14ac:dyDescent="0.2">
      <c r="B82" s="59"/>
      <c r="C82" s="59"/>
      <c r="D82" s="59"/>
      <c r="E82" s="59"/>
      <c r="F82" s="59"/>
      <c r="G82" s="59"/>
      <c r="H82" s="59"/>
      <c r="I82" s="59"/>
      <c r="J82" s="59"/>
      <c r="K82" s="59"/>
      <c r="L82" s="59"/>
      <c r="M82" s="59"/>
      <c r="N82" s="59"/>
      <c r="O82" s="59"/>
      <c r="P82" s="59"/>
      <c r="Q82" s="59"/>
    </row>
    <row r="83" spans="2:17" x14ac:dyDescent="0.2">
      <c r="B83" s="59"/>
      <c r="C83" s="59"/>
      <c r="D83" s="59"/>
      <c r="E83" s="59"/>
      <c r="F83" s="59"/>
      <c r="G83" s="59"/>
      <c r="H83" s="59"/>
      <c r="I83" s="59"/>
      <c r="J83" s="59"/>
      <c r="K83" s="59"/>
      <c r="L83" s="59"/>
      <c r="M83" s="59"/>
      <c r="N83" s="59"/>
      <c r="O83" s="59"/>
      <c r="P83" s="59"/>
      <c r="Q83" s="59"/>
    </row>
    <row r="84" spans="2:17" x14ac:dyDescent="0.2">
      <c r="B84" s="59"/>
      <c r="C84" s="59"/>
      <c r="D84" s="59"/>
      <c r="E84" s="59"/>
      <c r="F84" s="59"/>
      <c r="G84" s="59"/>
      <c r="H84" s="59"/>
      <c r="I84" s="59"/>
      <c r="J84" s="59"/>
      <c r="K84" s="59"/>
      <c r="L84" s="59"/>
      <c r="M84" s="59"/>
      <c r="N84" s="59"/>
      <c r="O84" s="59"/>
      <c r="P84" s="59"/>
      <c r="Q84" s="59"/>
    </row>
    <row r="85" spans="2:17" x14ac:dyDescent="0.2">
      <c r="B85" s="59"/>
      <c r="C85" s="59"/>
      <c r="D85" s="59"/>
      <c r="E85" s="59"/>
      <c r="F85" s="59"/>
      <c r="G85" s="59"/>
      <c r="H85" s="59"/>
      <c r="I85" s="59"/>
      <c r="J85" s="59"/>
      <c r="K85" s="59"/>
      <c r="L85" s="59"/>
      <c r="M85" s="59"/>
      <c r="N85" s="59"/>
      <c r="O85" s="59"/>
      <c r="P85" s="59"/>
      <c r="Q85" s="59"/>
    </row>
    <row r="86" spans="2:17" x14ac:dyDescent="0.2">
      <c r="B86" s="59"/>
      <c r="C86" s="59"/>
      <c r="D86" s="59"/>
      <c r="E86" s="59"/>
      <c r="F86" s="59"/>
      <c r="G86" s="59"/>
      <c r="H86" s="59"/>
      <c r="I86" s="59"/>
      <c r="J86" s="59"/>
      <c r="K86" s="59"/>
      <c r="L86" s="59"/>
      <c r="M86" s="59"/>
      <c r="N86" s="59"/>
      <c r="O86" s="59"/>
      <c r="P86" s="59"/>
      <c r="Q86" s="59"/>
    </row>
    <row r="87" spans="2:17" x14ac:dyDescent="0.2">
      <c r="B87" s="59"/>
      <c r="C87" s="59"/>
      <c r="D87" s="59"/>
      <c r="E87" s="59"/>
      <c r="F87" s="59"/>
      <c r="G87" s="59"/>
      <c r="H87" s="59"/>
      <c r="I87" s="59"/>
      <c r="J87" s="59"/>
      <c r="K87" s="59"/>
      <c r="L87" s="59"/>
      <c r="M87" s="59"/>
      <c r="N87" s="59"/>
      <c r="O87" s="59"/>
      <c r="P87" s="59"/>
      <c r="Q87" s="59"/>
    </row>
    <row r="88" spans="2:17" x14ac:dyDescent="0.2">
      <c r="B88" s="59"/>
      <c r="C88" s="59"/>
      <c r="D88" s="59"/>
      <c r="E88" s="59"/>
      <c r="F88" s="59"/>
      <c r="G88" s="59"/>
      <c r="H88" s="59"/>
      <c r="I88" s="59"/>
      <c r="J88" s="59"/>
      <c r="K88" s="59"/>
      <c r="L88" s="59"/>
      <c r="M88" s="59"/>
      <c r="N88" s="59"/>
      <c r="O88" s="59"/>
      <c r="P88" s="59"/>
      <c r="Q88" s="59"/>
    </row>
  </sheetData>
  <sheetProtection algorithmName="SHA-512" hashValue="YfUtURDZKJgZXZmeW+jTM/UsItqvVYmb8ibtasXklgX+AVKSafXmZcJtt2im8YQUE7xokIHS0P5zP8vafrgFMg==" saltValue="UcAoSmNnDH1w1YQqAR+SYQ==" spinCount="100000" sheet="1" objects="1" scenarios="1"/>
  <customSheetViews>
    <customSheetView guid="{8595FB22-684A-40C6-BCB3-CF11C69F4546}" fitToPage="1" showRuler="0">
      <selection activeCell="I35" sqref="I35"/>
      <pageMargins left="0" right="0" top="0" bottom="0" header="0" footer="0"/>
      <pageSetup paperSize="9" scale="60" orientation="landscape" r:id="rId1"/>
      <headerFooter alignWithMargins="0"/>
    </customSheetView>
  </customSheetViews>
  <mergeCells count="14">
    <mergeCell ref="F10:K10"/>
    <mergeCell ref="F6:K6"/>
    <mergeCell ref="F7:K7"/>
    <mergeCell ref="F5:K5"/>
    <mergeCell ref="F9:K9"/>
    <mergeCell ref="F8:K8"/>
    <mergeCell ref="B33:G33"/>
    <mergeCell ref="G34:G38"/>
    <mergeCell ref="B39:C39"/>
    <mergeCell ref="B49:E49"/>
    <mergeCell ref="B34:C38"/>
    <mergeCell ref="D34:D38"/>
    <mergeCell ref="E34:E38"/>
    <mergeCell ref="F34:F38"/>
  </mergeCells>
  <phoneticPr fontId="3" type="noConversion"/>
  <pageMargins left="0.78740157480314965" right="0.94488188976377963" top="0.98425196850393704" bottom="0.98425196850393704" header="0.51181102362204722" footer="0.51181102362204722"/>
  <pageSetup paperSize="9" scale="38" orientation="portrait" r:id="rId2"/>
  <headerFooter alignWithMargins="0">
    <oddFooter xml:space="preserve">&amp;CStand: April 2025
</oddFooter>
  </headerFooter>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6">
    <pageSetUpPr fitToPage="1"/>
  </sheetPr>
  <dimension ref="A1:IV65"/>
  <sheetViews>
    <sheetView zoomScaleNormal="100" zoomScaleSheetLayoutView="100" workbookViewId="0">
      <selection activeCell="A2" sqref="A2"/>
    </sheetView>
  </sheetViews>
  <sheetFormatPr baseColWidth="10" defaultColWidth="11.42578125" defaultRowHeight="12.75" x14ac:dyDescent="0.2"/>
  <cols>
    <col min="1" max="1" width="4.5703125" style="353" customWidth="1"/>
    <col min="2" max="2" width="12" style="353" bestFit="1" customWidth="1"/>
    <col min="3" max="3" width="9" style="353" customWidth="1"/>
    <col min="4" max="4" width="26" style="353" customWidth="1"/>
    <col min="5" max="5" width="16" style="353" customWidth="1"/>
    <col min="6" max="6" width="1.140625" style="353" customWidth="1"/>
    <col min="7" max="7" width="16.140625" style="353" customWidth="1"/>
    <col min="8" max="8" width="7" style="353" customWidth="1"/>
    <col min="9" max="9" width="13.5703125" style="353" customWidth="1"/>
    <col min="10" max="10" width="11.85546875" style="353" customWidth="1"/>
    <col min="11" max="11" width="15.28515625" style="353" customWidth="1"/>
    <col min="12" max="21" width="11.42578125" style="353"/>
    <col min="22" max="22" width="0" style="353" hidden="1" customWidth="1"/>
    <col min="23" max="23" width="45.140625" style="374" hidden="1" customWidth="1"/>
    <col min="24" max="16384" width="11.42578125" style="353"/>
  </cols>
  <sheetData>
    <row r="1" spans="1:23" s="351" customFormat="1" x14ac:dyDescent="0.2">
      <c r="A1" s="505" t="s">
        <v>47</v>
      </c>
      <c r="B1" s="505"/>
      <c r="C1" s="505"/>
      <c r="D1" s="505"/>
      <c r="E1" s="505"/>
      <c r="F1" s="349"/>
      <c r="G1" s="349"/>
      <c r="H1" s="349"/>
      <c r="I1" s="350"/>
      <c r="J1" s="350"/>
      <c r="K1" s="350"/>
      <c r="W1" s="452"/>
    </row>
    <row r="2" spans="1:23" ht="23.25" x14ac:dyDescent="0.35">
      <c r="A2" s="434" t="s">
        <v>48</v>
      </c>
      <c r="B2" s="434"/>
      <c r="C2" s="434"/>
      <c r="D2" s="434"/>
      <c r="E2" s="434"/>
      <c r="F2" s="434"/>
      <c r="G2" s="434"/>
      <c r="H2" s="434"/>
      <c r="I2" s="434"/>
      <c r="J2" s="434"/>
      <c r="K2" s="352"/>
      <c r="W2" s="453" t="s">
        <v>49</v>
      </c>
    </row>
    <row r="3" spans="1:23" ht="18.75" x14ac:dyDescent="0.3">
      <c r="A3" s="354"/>
      <c r="B3" s="354"/>
      <c r="C3" s="354"/>
      <c r="D3" s="354"/>
      <c r="E3" s="354"/>
      <c r="F3" s="354"/>
      <c r="G3" s="354"/>
      <c r="H3" s="354"/>
      <c r="I3" s="354"/>
      <c r="J3" s="354"/>
      <c r="K3" s="352"/>
      <c r="W3" s="453" t="s">
        <v>50</v>
      </c>
    </row>
    <row r="4" spans="1:23" s="358" customFormat="1" ht="18" customHeight="1" thickBot="1" x14ac:dyDescent="0.25">
      <c r="A4" s="355" t="s">
        <v>51</v>
      </c>
      <c r="B4" s="356"/>
      <c r="C4" s="357"/>
      <c r="D4" s="357"/>
      <c r="E4" s="506"/>
      <c r="F4" s="506"/>
      <c r="G4" s="506"/>
      <c r="H4" s="506"/>
      <c r="I4" s="506"/>
      <c r="J4" s="506"/>
      <c r="K4" s="506"/>
      <c r="W4" s="454" t="s">
        <v>52</v>
      </c>
    </row>
    <row r="5" spans="1:23" ht="19.899999999999999" customHeight="1" x14ac:dyDescent="0.3">
      <c r="A5" s="359"/>
      <c r="B5" s="359"/>
      <c r="C5" s="359"/>
      <c r="D5" s="359"/>
      <c r="E5" s="360" t="s">
        <v>53</v>
      </c>
      <c r="F5" s="361"/>
      <c r="G5" s="361"/>
      <c r="H5" s="361"/>
      <c r="I5" s="352"/>
      <c r="J5" s="352"/>
      <c r="K5" s="352"/>
      <c r="W5" s="453" t="s">
        <v>54</v>
      </c>
    </row>
    <row r="6" spans="1:23" s="364" customFormat="1" ht="21.75" customHeight="1" thickBot="1" x14ac:dyDescent="0.25">
      <c r="A6" s="362" t="s">
        <v>55</v>
      </c>
      <c r="B6" s="363"/>
      <c r="C6" s="363"/>
      <c r="D6" s="363"/>
      <c r="E6" s="507" t="s">
        <v>54</v>
      </c>
      <c r="F6" s="507"/>
      <c r="G6" s="507"/>
      <c r="H6" s="507"/>
      <c r="I6" s="508" t="s">
        <v>56</v>
      </c>
      <c r="J6" s="508"/>
      <c r="K6" s="508"/>
      <c r="W6" s="455" t="s">
        <v>57</v>
      </c>
    </row>
    <row r="7" spans="1:23" ht="16.899999999999999" customHeight="1" x14ac:dyDescent="0.3">
      <c r="A7" s="359"/>
      <c r="B7" s="359"/>
      <c r="C7" s="359"/>
      <c r="D7" s="359"/>
      <c r="E7" s="352"/>
      <c r="F7" s="352"/>
      <c r="G7" s="352"/>
      <c r="H7" s="352"/>
      <c r="I7" s="352"/>
      <c r="J7" s="352"/>
      <c r="K7" s="352"/>
      <c r="W7" s="453" t="s">
        <v>58</v>
      </c>
    </row>
    <row r="8" spans="1:23" s="365" customFormat="1" ht="19.5" customHeight="1" thickBot="1" x14ac:dyDescent="0.35">
      <c r="A8" s="501" t="s">
        <v>59</v>
      </c>
      <c r="B8" s="502"/>
      <c r="C8" s="502"/>
      <c r="D8" s="502"/>
      <c r="E8" s="502"/>
      <c r="F8" s="503"/>
      <c r="G8" s="504"/>
      <c r="H8" s="504"/>
      <c r="I8" s="504"/>
      <c r="J8" s="504"/>
      <c r="K8" s="504"/>
      <c r="W8" s="453" t="s">
        <v>463</v>
      </c>
    </row>
    <row r="9" spans="1:23" ht="15" x14ac:dyDescent="0.2">
      <c r="A9" s="359"/>
      <c r="B9" s="359"/>
      <c r="C9" s="359"/>
      <c r="D9" s="359"/>
      <c r="E9" s="366" t="s">
        <v>60</v>
      </c>
      <c r="F9" s="366"/>
      <c r="G9" s="366"/>
      <c r="H9" s="366"/>
      <c r="I9" s="352"/>
      <c r="J9" s="352"/>
      <c r="K9" s="352"/>
    </row>
    <row r="10" spans="1:23" ht="23.25" customHeight="1" thickBot="1" x14ac:dyDescent="0.25">
      <c r="A10" s="367" t="s">
        <v>61</v>
      </c>
      <c r="B10" s="367"/>
      <c r="C10" s="367"/>
      <c r="D10" s="367"/>
      <c r="E10" s="509"/>
      <c r="F10" s="509"/>
      <c r="G10" s="509"/>
      <c r="H10" s="509"/>
      <c r="I10" s="509"/>
      <c r="J10" s="509"/>
      <c r="K10" s="509"/>
    </row>
    <row r="11" spans="1:23" ht="9.75" customHeight="1" x14ac:dyDescent="0.2">
      <c r="A11" s="359"/>
      <c r="B11" s="359"/>
      <c r="C11" s="359"/>
      <c r="D11" s="359"/>
      <c r="E11" s="352"/>
      <c r="F11" s="352"/>
      <c r="G11" s="352"/>
      <c r="H11" s="352"/>
      <c r="I11" s="352"/>
      <c r="J11" s="352"/>
      <c r="K11" s="352"/>
    </row>
    <row r="12" spans="1:23" ht="23.25" customHeight="1" thickBot="1" x14ac:dyDescent="0.25">
      <c r="A12" s="367" t="s">
        <v>62</v>
      </c>
      <c r="B12" s="367"/>
      <c r="C12" s="367"/>
      <c r="D12" s="367"/>
      <c r="E12" s="509"/>
      <c r="F12" s="509"/>
      <c r="G12" s="509"/>
      <c r="H12" s="509"/>
      <c r="I12" s="509"/>
      <c r="J12" s="509"/>
      <c r="K12" s="509"/>
    </row>
    <row r="13" spans="1:23" ht="9.75" customHeight="1" x14ac:dyDescent="0.2">
      <c r="A13" s="359"/>
      <c r="B13" s="359"/>
      <c r="C13" s="359"/>
      <c r="D13" s="359"/>
      <c r="E13" s="352"/>
      <c r="F13" s="352"/>
      <c r="G13" s="352"/>
      <c r="H13" s="352"/>
      <c r="I13" s="352"/>
      <c r="J13" s="352"/>
      <c r="K13" s="352"/>
    </row>
    <row r="14" spans="1:23" ht="20.25" customHeight="1" thickBot="1" x14ac:dyDescent="0.25">
      <c r="A14" s="501" t="s">
        <v>63</v>
      </c>
      <c r="B14" s="510"/>
      <c r="C14" s="510"/>
      <c r="D14" s="510"/>
      <c r="E14" s="509"/>
      <c r="F14" s="509"/>
      <c r="G14" s="509"/>
      <c r="H14" s="509"/>
      <c r="I14" s="509"/>
      <c r="J14" s="509"/>
      <c r="K14" s="509"/>
    </row>
    <row r="15" spans="1:23" ht="19.5" customHeight="1" thickBot="1" x14ac:dyDescent="0.25">
      <c r="A15" s="510"/>
      <c r="B15" s="510"/>
      <c r="C15" s="510"/>
      <c r="D15" s="510"/>
      <c r="E15" s="511"/>
      <c r="F15" s="511"/>
      <c r="G15" s="511"/>
      <c r="H15" s="511"/>
      <c r="I15" s="511"/>
      <c r="J15" s="511"/>
      <c r="K15" s="511"/>
    </row>
    <row r="16" spans="1:23" ht="15" x14ac:dyDescent="0.2">
      <c r="A16" s="359"/>
      <c r="B16" s="359"/>
      <c r="C16" s="359"/>
      <c r="D16" s="359"/>
      <c r="E16" s="368" t="s">
        <v>64</v>
      </c>
      <c r="F16" s="361"/>
      <c r="G16" s="361"/>
      <c r="H16" s="361"/>
      <c r="I16" s="352"/>
      <c r="J16" s="352"/>
    </row>
    <row r="17" spans="1:23" ht="18" x14ac:dyDescent="0.25">
      <c r="A17" s="367" t="s">
        <v>65</v>
      </c>
      <c r="B17" s="369"/>
      <c r="C17" s="369"/>
      <c r="D17" s="370"/>
      <c r="E17" s="371" t="s">
        <v>39</v>
      </c>
      <c r="F17" s="406"/>
      <c r="G17" s="406" t="s">
        <v>66</v>
      </c>
      <c r="H17" s="406"/>
      <c r="I17" s="406"/>
      <c r="J17" s="407"/>
      <c r="K17" s="397"/>
      <c r="L17" s="397"/>
    </row>
    <row r="18" spans="1:23" ht="23.25" x14ac:dyDescent="0.35">
      <c r="A18" s="373"/>
      <c r="B18" s="372"/>
      <c r="C18" s="374"/>
      <c r="E18" s="371" t="s">
        <v>39</v>
      </c>
      <c r="F18" s="406"/>
      <c r="G18" s="406" t="s">
        <v>67</v>
      </c>
      <c r="H18" s="406"/>
      <c r="I18" s="406"/>
      <c r="J18" s="407"/>
      <c r="K18" s="397"/>
      <c r="L18" s="397"/>
    </row>
    <row r="19" spans="1:23" ht="15.75" x14ac:dyDescent="0.25">
      <c r="A19" s="372"/>
      <c r="B19" s="372"/>
      <c r="C19" s="374"/>
      <c r="E19" s="371" t="s">
        <v>39</v>
      </c>
      <c r="F19" s="406"/>
      <c r="G19" s="406" t="s">
        <v>68</v>
      </c>
      <c r="H19" s="406"/>
      <c r="I19" s="406"/>
      <c r="J19" s="407"/>
      <c r="K19" s="397"/>
      <c r="L19" s="397"/>
    </row>
    <row r="20" spans="1:23" x14ac:dyDescent="0.2">
      <c r="D20" s="351"/>
      <c r="E20" s="351"/>
      <c r="F20" s="351"/>
      <c r="G20" s="351"/>
      <c r="H20" s="351"/>
      <c r="I20" s="350"/>
      <c r="J20" s="352"/>
      <c r="K20" s="352"/>
    </row>
    <row r="21" spans="1:23" s="378" customFormat="1" ht="20.25" x14ac:dyDescent="0.3">
      <c r="A21" s="375" t="s">
        <v>69</v>
      </c>
      <c r="B21" s="375" t="s">
        <v>70</v>
      </c>
      <c r="C21" s="376"/>
      <c r="D21" s="376"/>
      <c r="E21" s="376"/>
      <c r="F21" s="376"/>
      <c r="G21" s="376"/>
      <c r="H21" s="376"/>
      <c r="I21" s="376"/>
      <c r="J21" s="376"/>
      <c r="K21" s="376"/>
      <c r="L21" s="377"/>
      <c r="M21" s="377"/>
      <c r="N21" s="377"/>
      <c r="O21" s="377"/>
      <c r="P21" s="377"/>
      <c r="W21" s="456"/>
    </row>
    <row r="22" spans="1:23" ht="8.25" customHeight="1" x14ac:dyDescent="0.2">
      <c r="A22" s="379"/>
      <c r="B22" s="379"/>
      <c r="C22" s="380"/>
      <c r="D22" s="380"/>
      <c r="E22" s="380"/>
      <c r="F22" s="380"/>
      <c r="G22" s="380"/>
      <c r="H22" s="380"/>
      <c r="I22" s="380"/>
      <c r="J22" s="381"/>
      <c r="K22" s="381"/>
      <c r="L22" s="381"/>
      <c r="M22" s="381"/>
      <c r="N22" s="381"/>
      <c r="O22" s="381"/>
      <c r="P22" s="381"/>
    </row>
    <row r="23" spans="1:23" ht="21" customHeight="1" x14ac:dyDescent="0.25">
      <c r="A23" s="379"/>
      <c r="B23" s="512" t="s">
        <v>71</v>
      </c>
      <c r="C23" s="513"/>
      <c r="D23" s="513"/>
      <c r="E23" s="513"/>
      <c r="F23" s="513"/>
      <c r="G23" s="514"/>
      <c r="H23" s="515"/>
      <c r="I23" s="516"/>
      <c r="J23" s="516"/>
      <c r="K23" s="517"/>
      <c r="L23" s="381"/>
      <c r="M23" s="381"/>
      <c r="N23" s="381"/>
      <c r="O23" s="381"/>
      <c r="P23" s="381"/>
    </row>
    <row r="24" spans="1:23" ht="6" customHeight="1" x14ac:dyDescent="0.2">
      <c r="A24" s="379"/>
      <c r="B24" s="382"/>
      <c r="C24" s="383"/>
      <c r="D24" s="383"/>
      <c r="E24" s="383"/>
      <c r="F24" s="383"/>
      <c r="G24" s="383"/>
      <c r="H24" s="380"/>
      <c r="I24" s="380"/>
      <c r="J24" s="381"/>
      <c r="K24" s="381"/>
      <c r="L24" s="381"/>
      <c r="M24" s="381"/>
      <c r="N24" s="381"/>
      <c r="O24" s="381"/>
      <c r="P24" s="381"/>
    </row>
    <row r="25" spans="1:23" ht="20.25" customHeight="1" x14ac:dyDescent="0.25">
      <c r="A25" s="379"/>
      <c r="B25" s="512" t="s">
        <v>72</v>
      </c>
      <c r="C25" s="513"/>
      <c r="D25" s="513"/>
      <c r="E25" s="513"/>
      <c r="F25" s="513"/>
      <c r="G25" s="514"/>
      <c r="H25" s="515"/>
      <c r="I25" s="516"/>
      <c r="J25" s="516"/>
      <c r="K25" s="517"/>
      <c r="L25" s="381"/>
      <c r="M25" s="381"/>
      <c r="N25" s="381"/>
      <c r="O25" s="381"/>
      <c r="P25" s="381"/>
    </row>
    <row r="26" spans="1:23" ht="5.25" customHeight="1" x14ac:dyDescent="0.2">
      <c r="A26" s="379"/>
      <c r="B26" s="379"/>
      <c r="C26" s="380"/>
      <c r="D26" s="380"/>
      <c r="E26" s="380"/>
      <c r="F26" s="380"/>
      <c r="G26" s="380"/>
      <c r="H26" s="380"/>
      <c r="I26" s="380"/>
      <c r="J26" s="381"/>
      <c r="K26" s="381"/>
      <c r="L26" s="381"/>
      <c r="M26" s="381"/>
      <c r="N26" s="381"/>
      <c r="O26" s="381"/>
      <c r="P26" s="381"/>
    </row>
    <row r="27" spans="1:23" ht="5.25" customHeight="1" x14ac:dyDescent="0.2">
      <c r="A27" s="379"/>
      <c r="B27" s="379"/>
      <c r="C27" s="380"/>
      <c r="D27" s="380"/>
      <c r="E27" s="380"/>
      <c r="F27" s="380"/>
      <c r="G27" s="380"/>
      <c r="H27" s="380"/>
      <c r="I27" s="380"/>
      <c r="J27" s="381"/>
      <c r="K27" s="381"/>
      <c r="L27" s="381"/>
      <c r="M27" s="381"/>
      <c r="N27" s="381"/>
      <c r="O27" s="381"/>
      <c r="P27" s="381"/>
    </row>
    <row r="28" spans="1:23" s="351" customFormat="1" ht="24.75" customHeight="1" x14ac:dyDescent="0.2">
      <c r="A28" s="526" t="s">
        <v>73</v>
      </c>
      <c r="B28" s="527"/>
      <c r="C28" s="527"/>
      <c r="D28" s="527"/>
      <c r="E28" s="527"/>
      <c r="F28" s="527"/>
      <c r="G28" s="528"/>
      <c r="H28" s="515"/>
      <c r="I28" s="529"/>
      <c r="J28" s="529"/>
      <c r="K28" s="530"/>
      <c r="L28" s="381"/>
      <c r="M28" s="381"/>
      <c r="N28" s="381"/>
      <c r="O28" s="381"/>
      <c r="P28" s="381"/>
      <c r="W28" s="452"/>
    </row>
    <row r="29" spans="1:23" s="351" customFormat="1" ht="12.75" customHeight="1" x14ac:dyDescent="0.2">
      <c r="A29" s="379"/>
      <c r="B29" s="379"/>
      <c r="C29" s="380"/>
      <c r="D29" s="380"/>
      <c r="E29" s="380"/>
      <c r="F29" s="380"/>
      <c r="G29" s="380"/>
      <c r="H29" s="380"/>
      <c r="I29" s="380"/>
      <c r="J29" s="381"/>
      <c r="K29" s="381"/>
      <c r="L29" s="381"/>
      <c r="M29" s="381"/>
      <c r="N29" s="381"/>
      <c r="O29" s="381"/>
      <c r="P29" s="381"/>
      <c r="W29" s="452"/>
    </row>
    <row r="30" spans="1:23" s="351" customFormat="1" ht="25.5" customHeight="1" x14ac:dyDescent="0.2">
      <c r="A30" s="531" t="s">
        <v>74</v>
      </c>
      <c r="B30" s="532"/>
      <c r="C30" s="532"/>
      <c r="D30" s="532"/>
      <c r="E30" s="532"/>
      <c r="F30" s="532"/>
      <c r="G30" s="533"/>
      <c r="H30" s="534"/>
      <c r="I30" s="535"/>
      <c r="J30" s="535"/>
      <c r="K30" s="536"/>
      <c r="L30" s="381"/>
      <c r="M30" s="381"/>
      <c r="N30" s="381"/>
      <c r="O30" s="381"/>
      <c r="P30" s="381"/>
      <c r="W30" s="452"/>
    </row>
    <row r="31" spans="1:23" ht="12.75" customHeight="1" x14ac:dyDescent="0.2">
      <c r="A31" s="379"/>
      <c r="B31" s="379"/>
      <c r="C31" s="380"/>
      <c r="D31" s="380"/>
      <c r="E31" s="380"/>
      <c r="F31" s="380"/>
      <c r="G31" s="380"/>
      <c r="H31" s="380"/>
      <c r="I31" s="380"/>
      <c r="J31" s="381"/>
      <c r="K31" s="381"/>
      <c r="L31" s="381"/>
      <c r="M31" s="381"/>
      <c r="N31" s="381"/>
      <c r="O31" s="381"/>
      <c r="P31" s="381"/>
    </row>
    <row r="32" spans="1:23" ht="42" customHeight="1" x14ac:dyDescent="0.2">
      <c r="A32" s="518" t="s">
        <v>75</v>
      </c>
      <c r="B32" s="519"/>
      <c r="C32" s="519"/>
      <c r="D32" s="519"/>
      <c r="E32" s="519"/>
      <c r="F32" s="519"/>
      <c r="G32" s="519"/>
      <c r="H32" s="519"/>
      <c r="I32" s="519"/>
      <c r="J32" s="519"/>
      <c r="K32" s="520"/>
      <c r="L32" s="381"/>
      <c r="M32" s="381"/>
      <c r="N32" s="381"/>
      <c r="O32" s="381"/>
      <c r="P32" s="381"/>
    </row>
    <row r="33" spans="1:256" s="386" customFormat="1" ht="21.75" customHeight="1" x14ac:dyDescent="0.25">
      <c r="A33" s="384"/>
      <c r="B33" s="385" t="s">
        <v>76</v>
      </c>
      <c r="D33" s="387"/>
      <c r="E33" s="387"/>
      <c r="F33" s="387"/>
      <c r="G33" s="387"/>
      <c r="H33" s="387"/>
      <c r="I33" s="387"/>
      <c r="J33" s="387"/>
      <c r="K33" s="388"/>
      <c r="L33" s="380"/>
      <c r="M33" s="380"/>
      <c r="N33" s="380"/>
      <c r="O33" s="380"/>
      <c r="P33" s="380"/>
      <c r="W33" s="457"/>
    </row>
    <row r="34" spans="1:256" s="386" customFormat="1" ht="21.75" customHeight="1" x14ac:dyDescent="0.25">
      <c r="A34" s="384"/>
      <c r="B34" s="385" t="s">
        <v>77</v>
      </c>
      <c r="D34" s="387"/>
      <c r="E34" s="387"/>
      <c r="F34" s="387"/>
      <c r="G34" s="387"/>
      <c r="H34" s="387"/>
      <c r="I34" s="387"/>
      <c r="J34" s="387"/>
      <c r="K34" s="388"/>
      <c r="L34" s="380"/>
      <c r="M34" s="380"/>
      <c r="N34" s="380"/>
      <c r="O34" s="380"/>
      <c r="P34" s="380"/>
      <c r="W34" s="457"/>
    </row>
    <row r="35" spans="1:256" s="386" customFormat="1" ht="24.75" customHeight="1" x14ac:dyDescent="0.25">
      <c r="A35" s="389"/>
      <c r="B35" s="390" t="s">
        <v>78</v>
      </c>
      <c r="C35" s="391"/>
      <c r="D35" s="392"/>
      <c r="E35" s="392"/>
      <c r="F35" s="392"/>
      <c r="G35" s="392"/>
      <c r="H35" s="392"/>
      <c r="I35" s="392"/>
      <c r="J35" s="392"/>
      <c r="K35" s="393"/>
      <c r="L35" s="380"/>
      <c r="M35" s="380"/>
      <c r="N35" s="380"/>
      <c r="O35" s="380"/>
      <c r="P35" s="380"/>
      <c r="W35" s="457"/>
    </row>
    <row r="36" spans="1:256" s="1" customFormat="1" ht="43.5" customHeight="1" thickBot="1" x14ac:dyDescent="0.3">
      <c r="B36" s="408" t="s">
        <v>79</v>
      </c>
      <c r="C36" s="537"/>
      <c r="D36" s="537"/>
      <c r="E36" s="537"/>
      <c r="F36" s="537"/>
      <c r="G36" s="537"/>
      <c r="H36" s="537"/>
      <c r="I36" s="537"/>
      <c r="J36" s="537"/>
      <c r="K36" s="537"/>
      <c r="W36" s="458"/>
    </row>
    <row r="37" spans="1:256" s="1" customFormat="1" ht="28.5" customHeight="1" x14ac:dyDescent="0.2">
      <c r="A37" s="409"/>
      <c r="B37" s="410"/>
      <c r="C37" s="225"/>
      <c r="D37" s="411"/>
      <c r="E37" s="412" t="s">
        <v>80</v>
      </c>
      <c r="F37" s="225"/>
      <c r="G37" s="225"/>
      <c r="H37" s="413"/>
      <c r="I37" s="412" t="s">
        <v>81</v>
      </c>
      <c r="J37" s="411"/>
      <c r="K37" s="411"/>
      <c r="W37" s="458"/>
    </row>
    <row r="38" spans="1:256" s="378" customFormat="1" ht="19.5" customHeight="1" x14ac:dyDescent="0.3">
      <c r="A38" s="414" t="s">
        <v>82</v>
      </c>
      <c r="B38" s="414" t="s">
        <v>83</v>
      </c>
      <c r="C38" s="415"/>
      <c r="D38" s="415"/>
      <c r="E38" s="415"/>
      <c r="F38" s="415"/>
      <c r="G38" s="415"/>
      <c r="H38" s="415"/>
      <c r="I38" s="415"/>
      <c r="J38" s="415"/>
      <c r="K38" s="415"/>
      <c r="L38" s="377"/>
      <c r="M38" s="416"/>
      <c r="N38" s="416"/>
      <c r="O38" s="377"/>
      <c r="P38" s="377"/>
      <c r="Q38" s="416"/>
      <c r="R38" s="416"/>
      <c r="S38" s="377"/>
      <c r="T38" s="377"/>
      <c r="U38" s="416"/>
      <c r="V38" s="416"/>
      <c r="W38" s="459"/>
      <c r="X38" s="377"/>
      <c r="Y38" s="416"/>
      <c r="Z38" s="416"/>
      <c r="AA38" s="377"/>
      <c r="AB38" s="377"/>
      <c r="AC38" s="416"/>
      <c r="AD38" s="416"/>
      <c r="AE38" s="377"/>
      <c r="AF38" s="377"/>
      <c r="AG38" s="416"/>
      <c r="AH38" s="416"/>
      <c r="AI38" s="377"/>
      <c r="AJ38" s="377"/>
      <c r="AK38" s="416"/>
      <c r="AL38" s="416"/>
      <c r="AM38" s="377"/>
      <c r="AN38" s="377"/>
      <c r="AO38" s="416"/>
      <c r="AP38" s="416"/>
      <c r="AQ38" s="377"/>
      <c r="AR38" s="377"/>
      <c r="AS38" s="416"/>
      <c r="AT38" s="416"/>
      <c r="AU38" s="377"/>
      <c r="AV38" s="377"/>
      <c r="AW38" s="416"/>
      <c r="AX38" s="416"/>
      <c r="AY38" s="377"/>
      <c r="AZ38" s="377"/>
      <c r="BA38" s="416"/>
      <c r="BB38" s="416"/>
      <c r="BC38" s="377"/>
      <c r="BD38" s="377"/>
      <c r="BE38" s="416"/>
      <c r="BF38" s="416"/>
      <c r="BG38" s="377"/>
      <c r="BH38" s="377"/>
      <c r="BI38" s="416"/>
      <c r="BJ38" s="416"/>
      <c r="BK38" s="377"/>
      <c r="BL38" s="377"/>
      <c r="BM38" s="416"/>
      <c r="BN38" s="416"/>
      <c r="BO38" s="377"/>
      <c r="BP38" s="377"/>
      <c r="BQ38" s="416"/>
      <c r="BR38" s="416"/>
      <c r="BS38" s="377"/>
      <c r="BT38" s="377"/>
      <c r="BU38" s="416"/>
      <c r="BV38" s="416"/>
      <c r="BW38" s="377"/>
      <c r="BX38" s="377"/>
      <c r="BY38" s="416"/>
      <c r="BZ38" s="416"/>
      <c r="CA38" s="377"/>
      <c r="CB38" s="377"/>
      <c r="CC38" s="416"/>
      <c r="CD38" s="416"/>
      <c r="CE38" s="377"/>
      <c r="CF38" s="377"/>
      <c r="CG38" s="416"/>
      <c r="CH38" s="416"/>
      <c r="CI38" s="377"/>
      <c r="CJ38" s="377"/>
      <c r="CK38" s="416"/>
      <c r="CL38" s="416"/>
      <c r="CM38" s="377"/>
      <c r="CN38" s="377"/>
      <c r="CO38" s="416"/>
      <c r="CP38" s="416"/>
      <c r="CQ38" s="377"/>
      <c r="CR38" s="377"/>
      <c r="CS38" s="416"/>
      <c r="CT38" s="416"/>
      <c r="CU38" s="377"/>
      <c r="CV38" s="377"/>
      <c r="CW38" s="416"/>
      <c r="CX38" s="416"/>
      <c r="CY38" s="377"/>
      <c r="CZ38" s="377"/>
      <c r="DA38" s="416"/>
      <c r="DB38" s="416"/>
      <c r="DC38" s="377"/>
      <c r="DD38" s="377"/>
      <c r="DE38" s="416"/>
      <c r="DF38" s="416"/>
      <c r="DG38" s="377"/>
      <c r="DH38" s="377"/>
      <c r="DI38" s="416"/>
      <c r="DJ38" s="416"/>
      <c r="DK38" s="377"/>
      <c r="DL38" s="377"/>
      <c r="DM38" s="416"/>
      <c r="DN38" s="416"/>
      <c r="DO38" s="377"/>
      <c r="DP38" s="377"/>
      <c r="DQ38" s="416"/>
      <c r="DR38" s="416"/>
      <c r="DS38" s="377"/>
      <c r="DT38" s="377"/>
      <c r="DU38" s="416"/>
      <c r="DV38" s="416"/>
      <c r="DW38" s="377"/>
      <c r="DX38" s="377"/>
      <c r="DY38" s="416"/>
      <c r="DZ38" s="416"/>
      <c r="EA38" s="377"/>
      <c r="EB38" s="377"/>
      <c r="EC38" s="416"/>
      <c r="ED38" s="416"/>
      <c r="EE38" s="377"/>
      <c r="EF38" s="377"/>
      <c r="EG38" s="416"/>
      <c r="EH38" s="416"/>
      <c r="EI38" s="377"/>
      <c r="EJ38" s="377"/>
      <c r="EK38" s="416"/>
      <c r="EL38" s="416"/>
      <c r="EM38" s="377"/>
      <c r="EN38" s="377"/>
      <c r="EO38" s="416"/>
      <c r="EP38" s="416"/>
      <c r="EQ38" s="377"/>
      <c r="ER38" s="377"/>
      <c r="ES38" s="416"/>
      <c r="ET38" s="416"/>
      <c r="EU38" s="377"/>
      <c r="EV38" s="377"/>
      <c r="EW38" s="416"/>
      <c r="EX38" s="416"/>
      <c r="EY38" s="377"/>
      <c r="EZ38" s="377"/>
      <c r="FA38" s="416"/>
      <c r="FB38" s="416"/>
      <c r="FC38" s="377"/>
      <c r="FD38" s="377"/>
      <c r="FE38" s="416"/>
      <c r="FF38" s="416"/>
      <c r="FG38" s="377"/>
      <c r="FH38" s="377"/>
      <c r="FI38" s="416"/>
      <c r="FJ38" s="416"/>
      <c r="FK38" s="377"/>
      <c r="FL38" s="377"/>
      <c r="FM38" s="416"/>
      <c r="FN38" s="416"/>
      <c r="FO38" s="377"/>
      <c r="FP38" s="377"/>
      <c r="FQ38" s="416"/>
      <c r="FR38" s="416"/>
      <c r="FS38" s="377"/>
      <c r="FT38" s="377"/>
      <c r="FU38" s="416"/>
      <c r="FV38" s="416"/>
      <c r="FW38" s="377"/>
      <c r="FX38" s="377"/>
      <c r="FY38" s="416"/>
      <c r="FZ38" s="416"/>
      <c r="GA38" s="377"/>
      <c r="GB38" s="377"/>
      <c r="GC38" s="416"/>
      <c r="GD38" s="416"/>
      <c r="GE38" s="377"/>
      <c r="GF38" s="377"/>
      <c r="GG38" s="416"/>
      <c r="GH38" s="416"/>
      <c r="GI38" s="377"/>
      <c r="GJ38" s="377"/>
      <c r="GK38" s="416"/>
      <c r="GL38" s="416"/>
      <c r="GM38" s="377"/>
      <c r="GN38" s="377"/>
      <c r="GO38" s="416"/>
      <c r="GP38" s="416"/>
      <c r="GQ38" s="377"/>
      <c r="GR38" s="377"/>
      <c r="GS38" s="416"/>
      <c r="GT38" s="416"/>
      <c r="GU38" s="377"/>
      <c r="GV38" s="377"/>
      <c r="GW38" s="416"/>
      <c r="GX38" s="416"/>
      <c r="GY38" s="377"/>
      <c r="GZ38" s="377"/>
      <c r="HA38" s="416"/>
      <c r="HB38" s="416"/>
      <c r="HC38" s="377"/>
      <c r="HD38" s="377"/>
      <c r="HE38" s="416"/>
      <c r="HF38" s="416"/>
      <c r="HG38" s="377"/>
      <c r="HH38" s="377"/>
      <c r="HI38" s="416"/>
      <c r="HJ38" s="416"/>
      <c r="HK38" s="377"/>
      <c r="HL38" s="377"/>
      <c r="HM38" s="416"/>
      <c r="HN38" s="416"/>
      <c r="HO38" s="377"/>
      <c r="HP38" s="377"/>
      <c r="HQ38" s="416"/>
      <c r="HR38" s="416"/>
      <c r="HS38" s="377"/>
      <c r="HT38" s="377"/>
      <c r="HU38" s="416"/>
      <c r="HV38" s="416"/>
      <c r="HW38" s="377"/>
      <c r="HX38" s="377"/>
      <c r="HY38" s="416"/>
      <c r="HZ38" s="416"/>
      <c r="IA38" s="377"/>
      <c r="IB38" s="377"/>
      <c r="IC38" s="416"/>
      <c r="ID38" s="416"/>
      <c r="IE38" s="377"/>
      <c r="IF38" s="377"/>
      <c r="IG38" s="416"/>
      <c r="IH38" s="416"/>
      <c r="II38" s="377"/>
      <c r="IJ38" s="377"/>
      <c r="IK38" s="416"/>
      <c r="IL38" s="416"/>
      <c r="IM38" s="377"/>
      <c r="IN38" s="377"/>
      <c r="IO38" s="416"/>
      <c r="IP38" s="416"/>
      <c r="IQ38" s="377"/>
      <c r="IR38" s="377"/>
      <c r="IS38" s="416"/>
      <c r="IT38" s="416"/>
      <c r="IU38" s="377"/>
      <c r="IV38" s="377"/>
    </row>
    <row r="39" spans="1:256" ht="9" customHeight="1" x14ac:dyDescent="0.2">
      <c r="A39" s="351"/>
      <c r="B39" s="351"/>
      <c r="I39" s="352"/>
      <c r="J39" s="352"/>
      <c r="K39" s="352"/>
      <c r="L39" s="352"/>
      <c r="M39" s="352"/>
      <c r="N39" s="352"/>
      <c r="O39" s="352"/>
      <c r="P39" s="352"/>
    </row>
    <row r="40" spans="1:256" ht="15.75" x14ac:dyDescent="0.25">
      <c r="A40" s="351"/>
      <c r="B40" s="397" t="s">
        <v>84</v>
      </c>
      <c r="C40" s="359"/>
      <c r="D40" s="359"/>
      <c r="E40" s="359"/>
      <c r="I40" s="352"/>
      <c r="J40" s="352"/>
      <c r="K40" s="352"/>
      <c r="L40" s="352"/>
      <c r="M40" s="352"/>
      <c r="N40" s="352"/>
      <c r="O40" s="352"/>
      <c r="P40" s="352"/>
    </row>
    <row r="41" spans="1:256" ht="15.75" x14ac:dyDescent="0.25">
      <c r="A41" s="394"/>
      <c r="B41" s="359" t="s">
        <v>85</v>
      </c>
      <c r="C41" s="359"/>
      <c r="D41" s="359"/>
      <c r="E41" s="359"/>
      <c r="F41" s="359"/>
      <c r="G41" s="359"/>
      <c r="H41" s="359"/>
      <c r="I41" s="359"/>
      <c r="J41" s="359"/>
      <c r="K41" s="359"/>
      <c r="L41" s="352"/>
      <c r="M41" s="352"/>
      <c r="N41" s="352"/>
      <c r="O41" s="352"/>
      <c r="P41" s="352"/>
    </row>
    <row r="42" spans="1:256" ht="5.25" customHeight="1" x14ac:dyDescent="0.2">
      <c r="A42" s="394"/>
      <c r="B42" s="359"/>
      <c r="C42" s="359"/>
      <c r="D42" s="359"/>
      <c r="E42" s="359"/>
      <c r="F42" s="359"/>
      <c r="G42" s="359"/>
      <c r="H42" s="359"/>
      <c r="I42" s="359"/>
      <c r="J42" s="359"/>
      <c r="K42" s="359"/>
      <c r="L42" s="352"/>
      <c r="M42" s="352"/>
      <c r="N42" s="352"/>
      <c r="O42" s="352"/>
      <c r="P42" s="352"/>
    </row>
    <row r="43" spans="1:256" ht="15" x14ac:dyDescent="0.2">
      <c r="A43" s="394"/>
      <c r="B43" s="359" t="s">
        <v>86</v>
      </c>
      <c r="C43" s="359"/>
      <c r="D43" s="359"/>
      <c r="E43" s="359"/>
      <c r="F43" s="359"/>
      <c r="G43" s="359"/>
      <c r="H43" s="359"/>
      <c r="I43" s="359"/>
      <c r="J43" s="359"/>
      <c r="K43" s="359"/>
    </row>
    <row r="44" spans="1:256" ht="5.25" customHeight="1" x14ac:dyDescent="0.2">
      <c r="A44" s="394"/>
      <c r="B44" s="359"/>
      <c r="C44" s="359"/>
      <c r="D44" s="359"/>
      <c r="E44" s="359"/>
      <c r="F44" s="359"/>
      <c r="G44" s="359"/>
      <c r="H44" s="359"/>
      <c r="I44" s="359"/>
      <c r="J44" s="359"/>
      <c r="K44" s="359"/>
    </row>
    <row r="45" spans="1:256" ht="15" x14ac:dyDescent="0.2">
      <c r="A45" s="394"/>
      <c r="B45" s="359" t="s">
        <v>87</v>
      </c>
      <c r="C45" s="359"/>
      <c r="D45" s="359"/>
      <c r="E45" s="359"/>
      <c r="F45" s="359"/>
      <c r="G45" s="359"/>
      <c r="H45" s="359"/>
      <c r="I45" s="359"/>
      <c r="J45" s="359"/>
      <c r="K45" s="398"/>
    </row>
    <row r="46" spans="1:256" ht="15.75" x14ac:dyDescent="0.25">
      <c r="A46" s="399"/>
      <c r="B46" s="359" t="s">
        <v>88</v>
      </c>
      <c r="C46" s="359"/>
      <c r="D46" s="359"/>
      <c r="E46" s="359"/>
      <c r="F46" s="359"/>
      <c r="G46" s="359"/>
      <c r="H46" s="359"/>
      <c r="I46" s="521"/>
      <c r="J46" s="522"/>
      <c r="K46" s="522"/>
    </row>
    <row r="47" spans="1:256" ht="20.25" x14ac:dyDescent="0.3">
      <c r="A47" s="394"/>
      <c r="B47" s="282">
        <f>IF(E6="Innenleistung Lehrstuhl/Einrichtung",0%,20%)</f>
        <v>0.2</v>
      </c>
      <c r="C47" s="400" t="s">
        <v>89</v>
      </c>
      <c r="D47" s="397"/>
      <c r="E47" s="359"/>
      <c r="F47" s="394"/>
    </row>
    <row r="48" spans="1:256" ht="14.25" x14ac:dyDescent="0.2">
      <c r="A48" s="394"/>
      <c r="B48" s="396"/>
      <c r="C48" s="396"/>
      <c r="D48" s="396"/>
      <c r="E48" s="396"/>
      <c r="F48" s="396"/>
    </row>
    <row r="49" spans="1:11" ht="26.25" customHeight="1" x14ac:dyDescent="0.2">
      <c r="A49" s="394"/>
      <c r="B49" s="523" t="s">
        <v>90</v>
      </c>
      <c r="C49" s="524"/>
      <c r="D49" s="524"/>
      <c r="E49" s="524"/>
      <c r="F49" s="525"/>
      <c r="G49" s="523" t="s">
        <v>91</v>
      </c>
      <c r="H49" s="524"/>
      <c r="I49" s="524"/>
      <c r="J49" s="524"/>
      <c r="K49" s="525"/>
    </row>
    <row r="50" spans="1:11" ht="14.25" x14ac:dyDescent="0.2">
      <c r="A50" s="394"/>
      <c r="B50" s="396"/>
      <c r="C50" s="396"/>
      <c r="D50" s="396"/>
      <c r="E50" s="396"/>
      <c r="F50" s="396"/>
      <c r="G50" s="396"/>
      <c r="H50" s="396"/>
      <c r="I50" s="396"/>
      <c r="J50" s="396"/>
      <c r="K50" s="396"/>
    </row>
    <row r="51" spans="1:11" ht="20.25" x14ac:dyDescent="0.3">
      <c r="A51" s="394"/>
      <c r="B51" s="395"/>
      <c r="C51" s="394"/>
      <c r="D51" s="394"/>
      <c r="E51" s="394"/>
      <c r="F51" s="394"/>
      <c r="G51" s="394"/>
      <c r="H51" s="386"/>
      <c r="I51" s="378"/>
      <c r="J51" s="401"/>
      <c r="K51" s="396"/>
    </row>
    <row r="52" spans="1:11" ht="17.25" customHeight="1" x14ac:dyDescent="0.25">
      <c r="A52" s="417"/>
      <c r="B52" s="418" t="s">
        <v>92</v>
      </c>
      <c r="C52" s="419"/>
      <c r="D52" s="419"/>
      <c r="E52" s="419"/>
      <c r="F52" s="420"/>
      <c r="G52" s="420"/>
      <c r="H52" s="420"/>
      <c r="I52" s="409"/>
      <c r="J52" s="409"/>
      <c r="K52" s="409"/>
    </row>
    <row r="53" spans="1:11" ht="18" x14ac:dyDescent="0.25">
      <c r="A53" s="225"/>
      <c r="B53" s="292"/>
      <c r="C53" s="421"/>
      <c r="D53" s="421"/>
      <c r="E53" s="421"/>
      <c r="F53" s="421"/>
      <c r="G53" s="421"/>
      <c r="H53" s="421"/>
      <c r="I53" s="421"/>
      <c r="J53" s="421"/>
      <c r="K53" s="421"/>
    </row>
    <row r="54" spans="1:11" ht="15.75" x14ac:dyDescent="0.2">
      <c r="A54" s="225"/>
      <c r="B54" s="422" t="s">
        <v>93</v>
      </c>
      <c r="C54" s="421"/>
      <c r="D54" s="421"/>
      <c r="E54" s="421"/>
      <c r="F54" s="421"/>
      <c r="G54" s="423" t="s">
        <v>94</v>
      </c>
      <c r="H54" s="421"/>
      <c r="I54" s="424" t="s">
        <v>95</v>
      </c>
      <c r="J54" s="424"/>
      <c r="K54" s="225"/>
    </row>
    <row r="55" spans="1:11" ht="7.5" customHeight="1" x14ac:dyDescent="0.2">
      <c r="A55" s="225"/>
      <c r="B55" s="422"/>
      <c r="C55" s="421"/>
      <c r="D55" s="421"/>
      <c r="E55" s="421"/>
      <c r="F55" s="421"/>
      <c r="G55" s="423"/>
      <c r="H55" s="421"/>
      <c r="I55" s="424"/>
      <c r="J55" s="424"/>
      <c r="K55" s="225"/>
    </row>
    <row r="56" spans="1:11" ht="15.75" x14ac:dyDescent="0.25">
      <c r="A56" s="225"/>
      <c r="B56" s="418" t="s">
        <v>96</v>
      </c>
      <c r="C56" s="421"/>
      <c r="D56" s="421"/>
      <c r="E56" s="421"/>
      <c r="F56" s="421"/>
      <c r="G56" s="425">
        <v>0.19</v>
      </c>
      <c r="H56" s="421" t="s">
        <v>97</v>
      </c>
      <c r="I56" s="426"/>
      <c r="J56" s="424"/>
      <c r="K56" s="225"/>
    </row>
    <row r="57" spans="1:11" ht="15.75" x14ac:dyDescent="0.2">
      <c r="A57" s="225"/>
      <c r="B57" s="419"/>
      <c r="C57" s="427"/>
      <c r="D57" s="421"/>
      <c r="E57" s="421"/>
      <c r="F57" s="421"/>
      <c r="G57" s="421"/>
      <c r="H57" s="421"/>
      <c r="I57" s="424"/>
      <c r="J57" s="424"/>
      <c r="K57" s="225"/>
    </row>
    <row r="58" spans="1:11" ht="30" x14ac:dyDescent="0.25">
      <c r="A58" s="225"/>
      <c r="B58" s="419" t="s">
        <v>98</v>
      </c>
      <c r="C58" s="427"/>
      <c r="D58" s="421"/>
      <c r="E58" s="435" t="s">
        <v>99</v>
      </c>
      <c r="F58" s="421"/>
      <c r="G58" s="436" t="s">
        <v>100</v>
      </c>
      <c r="H58" s="421"/>
      <c r="I58" s="437" t="s">
        <v>101</v>
      </c>
      <c r="J58" s="424"/>
      <c r="K58" s="225"/>
    </row>
    <row r="59" spans="1:11" ht="15.75" x14ac:dyDescent="0.2">
      <c r="A59" s="225"/>
      <c r="B59" s="419"/>
      <c r="C59" s="427"/>
      <c r="D59" s="421"/>
      <c r="E59" s="428"/>
      <c r="F59" s="421"/>
      <c r="G59" s="421"/>
      <c r="H59" s="421"/>
      <c r="I59" s="424"/>
      <c r="J59" s="424"/>
      <c r="K59" s="225"/>
    </row>
    <row r="60" spans="1:11" ht="15.75" x14ac:dyDescent="0.2">
      <c r="A60" s="225"/>
      <c r="B60" s="419" t="s">
        <v>102</v>
      </c>
      <c r="C60" s="427"/>
      <c r="D60" s="421"/>
      <c r="E60" s="421"/>
      <c r="F60" s="421"/>
      <c r="G60" s="421" t="s">
        <v>103</v>
      </c>
      <c r="H60" s="1"/>
      <c r="I60" s="428" t="s">
        <v>101</v>
      </c>
      <c r="J60" s="1"/>
      <c r="K60" s="225"/>
    </row>
    <row r="61" spans="1:11" ht="15" x14ac:dyDescent="0.2">
      <c r="A61" s="225"/>
      <c r="B61" s="225"/>
      <c r="C61" s="421"/>
      <c r="D61" s="421"/>
      <c r="E61" s="421"/>
      <c r="F61" s="421"/>
      <c r="G61" s="421"/>
      <c r="H61" s="421"/>
      <c r="I61" s="424"/>
      <c r="J61" s="424"/>
      <c r="K61" s="225"/>
    </row>
    <row r="62" spans="1:11" ht="15" x14ac:dyDescent="0.2">
      <c r="A62" s="225"/>
      <c r="B62" s="422" t="s">
        <v>104</v>
      </c>
      <c r="C62" s="225"/>
      <c r="D62" s="225"/>
      <c r="E62" s="225"/>
      <c r="F62" s="225"/>
      <c r="G62" s="225"/>
      <c r="H62" s="225"/>
      <c r="I62" s="225"/>
      <c r="J62" s="225"/>
      <c r="K62" s="225"/>
    </row>
    <row r="63" spans="1:11" ht="14.25" x14ac:dyDescent="0.2">
      <c r="A63" s="225"/>
      <c r="B63" s="225"/>
      <c r="C63" s="225"/>
      <c r="D63" s="225"/>
      <c r="E63" s="225"/>
      <c r="F63" s="225"/>
      <c r="G63" s="225"/>
      <c r="H63" s="225"/>
      <c r="I63" s="225"/>
      <c r="J63" s="225"/>
      <c r="K63" s="225"/>
    </row>
    <row r="64" spans="1:11" ht="24.75" customHeight="1" thickBot="1" x14ac:dyDescent="0.3">
      <c r="A64" s="225"/>
      <c r="B64" s="408" t="s">
        <v>79</v>
      </c>
      <c r="C64" s="429"/>
      <c r="D64" s="429"/>
      <c r="E64" s="225"/>
      <c r="F64" s="225"/>
      <c r="G64" s="430"/>
      <c r="H64" s="430"/>
      <c r="I64" s="430"/>
      <c r="J64" s="430"/>
      <c r="K64" s="430"/>
    </row>
    <row r="65" spans="1:11" ht="20.25" x14ac:dyDescent="0.3">
      <c r="A65" s="225"/>
      <c r="B65" s="410"/>
      <c r="C65" s="225"/>
      <c r="D65" s="225"/>
      <c r="E65" s="225"/>
      <c r="F65" s="225"/>
      <c r="G65" s="225"/>
      <c r="H65" s="148"/>
      <c r="I65" s="431"/>
      <c r="J65" s="432" t="s">
        <v>105</v>
      </c>
      <c r="K65" s="433"/>
    </row>
  </sheetData>
  <sheetProtection algorithmName="SHA-512" hashValue="PNIq9TsxcKNwweGZ98rsCm+ldAmmYUfJnkeKLzpGGjcbNOkkiH5OF2Peds3pR0K6IFBCqr7ICiPNt/Otq6n95Q==" saltValue="pRI8azRHmY13JMeZprAQMQ==" spinCount="100000" sheet="1" objects="1" scenarios="1"/>
  <protectedRanges>
    <protectedRange sqref="E6:H6 E10:K10 E14:K15 E4:K4 E12:K12" name="Bereich1"/>
  </protectedRanges>
  <mergeCells count="24">
    <mergeCell ref="A32:K32"/>
    <mergeCell ref="I46:K46"/>
    <mergeCell ref="B49:F49"/>
    <mergeCell ref="G49:K49"/>
    <mergeCell ref="B25:G25"/>
    <mergeCell ref="H25:K25"/>
    <mergeCell ref="A28:G28"/>
    <mergeCell ref="H28:K28"/>
    <mergeCell ref="A30:G30"/>
    <mergeCell ref="H30:K30"/>
    <mergeCell ref="C36:K36"/>
    <mergeCell ref="E10:K10"/>
    <mergeCell ref="A14:D15"/>
    <mergeCell ref="E14:K14"/>
    <mergeCell ref="E15:K15"/>
    <mergeCell ref="B23:G23"/>
    <mergeCell ref="H23:K23"/>
    <mergeCell ref="E12:K12"/>
    <mergeCell ref="A8:E8"/>
    <mergeCell ref="F8:K8"/>
    <mergeCell ref="A1:E1"/>
    <mergeCell ref="E4:K4"/>
    <mergeCell ref="E6:H6"/>
    <mergeCell ref="I6:K6"/>
  </mergeCells>
  <dataValidations count="1">
    <dataValidation type="list" allowBlank="1" showInputMessage="1" showErrorMessage="1" sqref="E6:H6" xr:uid="{00000000-0002-0000-0100-000000000000}">
      <formula1>$W$2:$W$8</formula1>
    </dataValidation>
  </dataValidations>
  <pageMargins left="0.39370078740157483" right="0.39370078740157483" top="0.78740157480314965" bottom="0.39370078740157483" header="0.51181102362204722" footer="0.11811023622047245"/>
  <pageSetup paperSize="9" scale="67" orientation="portrait" r:id="rId1"/>
  <headerFooter alignWithMargins="0">
    <oddFooter>&amp;C&amp;"Arial,Fett"Stand: April 2025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5601" r:id="rId4" name="Check Box 1">
              <controlPr defaultSize="0" autoFill="0" autoLine="0" autoPict="0">
                <anchor moveWithCells="1">
                  <from>
                    <xdr:col>0</xdr:col>
                    <xdr:colOff>114300</xdr:colOff>
                    <xdr:row>34</xdr:row>
                    <xdr:rowOff>57150</xdr:rowOff>
                  </from>
                  <to>
                    <xdr:col>1</xdr:col>
                    <xdr:colOff>0</xdr:colOff>
                    <xdr:row>34</xdr:row>
                    <xdr:rowOff>304800</xdr:rowOff>
                  </to>
                </anchor>
              </controlPr>
            </control>
          </mc:Choice>
        </mc:AlternateContent>
        <mc:AlternateContent xmlns:mc="http://schemas.openxmlformats.org/markup-compatibility/2006">
          <mc:Choice Requires="x14">
            <control shapeId="25602" r:id="rId5" name="Check Box 2">
              <controlPr defaultSize="0" autoFill="0" autoLine="0" autoPict="0">
                <anchor moveWithCells="1">
                  <from>
                    <xdr:col>0</xdr:col>
                    <xdr:colOff>114300</xdr:colOff>
                    <xdr:row>32</xdr:row>
                    <xdr:rowOff>0</xdr:rowOff>
                  </from>
                  <to>
                    <xdr:col>1</xdr:col>
                    <xdr:colOff>0</xdr:colOff>
                    <xdr:row>32</xdr:row>
                    <xdr:rowOff>247650</xdr:rowOff>
                  </to>
                </anchor>
              </controlPr>
            </control>
          </mc:Choice>
        </mc:AlternateContent>
        <mc:AlternateContent xmlns:mc="http://schemas.openxmlformats.org/markup-compatibility/2006">
          <mc:Choice Requires="x14">
            <control shapeId="25603" r:id="rId6" name="Check Box 3">
              <controlPr defaultSize="0" autoFill="0" autoLine="0" autoPict="0">
                <anchor moveWithCells="1">
                  <from>
                    <xdr:col>0</xdr:col>
                    <xdr:colOff>114300</xdr:colOff>
                    <xdr:row>34</xdr:row>
                    <xdr:rowOff>0</xdr:rowOff>
                  </from>
                  <to>
                    <xdr:col>1</xdr:col>
                    <xdr:colOff>0</xdr:colOff>
                    <xdr:row>34</xdr:row>
                    <xdr:rowOff>247650</xdr:rowOff>
                  </to>
                </anchor>
              </controlPr>
            </control>
          </mc:Choice>
        </mc:AlternateContent>
        <mc:AlternateContent xmlns:mc="http://schemas.openxmlformats.org/markup-compatibility/2006">
          <mc:Choice Requires="x14">
            <control shapeId="25604" r:id="rId7" name="Check Box 4">
              <controlPr defaultSize="0" autoFill="0" autoLine="0" autoPict="0">
                <anchor moveWithCells="1">
                  <from>
                    <xdr:col>0</xdr:col>
                    <xdr:colOff>114300</xdr:colOff>
                    <xdr:row>32</xdr:row>
                    <xdr:rowOff>0</xdr:rowOff>
                  </from>
                  <to>
                    <xdr:col>1</xdr:col>
                    <xdr:colOff>0</xdr:colOff>
                    <xdr:row>32</xdr:row>
                    <xdr:rowOff>247650</xdr:rowOff>
                  </to>
                </anchor>
              </controlPr>
            </control>
          </mc:Choice>
        </mc:AlternateContent>
        <mc:AlternateContent xmlns:mc="http://schemas.openxmlformats.org/markup-compatibility/2006">
          <mc:Choice Requires="x14">
            <control shapeId="25605" r:id="rId8" name="Check Box 5">
              <controlPr defaultSize="0" autoFill="0" autoLine="0" autoPict="0">
                <anchor moveWithCells="1">
                  <from>
                    <xdr:col>0</xdr:col>
                    <xdr:colOff>114300</xdr:colOff>
                    <xdr:row>34</xdr:row>
                    <xdr:rowOff>0</xdr:rowOff>
                  </from>
                  <to>
                    <xdr:col>1</xdr:col>
                    <xdr:colOff>0</xdr:colOff>
                    <xdr:row>34</xdr:row>
                    <xdr:rowOff>247650</xdr:rowOff>
                  </to>
                </anchor>
              </controlPr>
            </control>
          </mc:Choice>
        </mc:AlternateContent>
        <mc:AlternateContent xmlns:mc="http://schemas.openxmlformats.org/markup-compatibility/2006">
          <mc:Choice Requires="x14">
            <control shapeId="25606" r:id="rId9" name="Check Box 6">
              <controlPr defaultSize="0" autoFill="0" autoLine="0" autoPict="0">
                <anchor moveWithCells="1">
                  <from>
                    <xdr:col>0</xdr:col>
                    <xdr:colOff>114300</xdr:colOff>
                    <xdr:row>21</xdr:row>
                    <xdr:rowOff>76200</xdr:rowOff>
                  </from>
                  <to>
                    <xdr:col>1</xdr:col>
                    <xdr:colOff>19050</xdr:colOff>
                    <xdr:row>23</xdr:row>
                    <xdr:rowOff>38100</xdr:rowOff>
                  </to>
                </anchor>
              </controlPr>
            </control>
          </mc:Choice>
        </mc:AlternateContent>
        <mc:AlternateContent xmlns:mc="http://schemas.openxmlformats.org/markup-compatibility/2006">
          <mc:Choice Requires="x14">
            <control shapeId="25607" r:id="rId10" name="Check Box 7">
              <controlPr defaultSize="0" autoFill="0" autoLine="0" autoPict="0">
                <anchor moveWithCells="1">
                  <from>
                    <xdr:col>0</xdr:col>
                    <xdr:colOff>114300</xdr:colOff>
                    <xdr:row>23</xdr:row>
                    <xdr:rowOff>38100</xdr:rowOff>
                  </from>
                  <to>
                    <xdr:col>1</xdr:col>
                    <xdr:colOff>19050</xdr:colOff>
                    <xdr:row>25</xdr:row>
                    <xdr:rowOff>38100</xdr:rowOff>
                  </to>
                </anchor>
              </controlPr>
            </control>
          </mc:Choice>
        </mc:AlternateContent>
        <mc:AlternateContent xmlns:mc="http://schemas.openxmlformats.org/markup-compatibility/2006">
          <mc:Choice Requires="x14">
            <control shapeId="25608" r:id="rId11" name="Check Box 8">
              <controlPr defaultSize="0" autoFill="0" autoLine="0" autoPict="0">
                <anchor moveWithCells="1">
                  <from>
                    <xdr:col>0</xdr:col>
                    <xdr:colOff>114300</xdr:colOff>
                    <xdr:row>33</xdr:row>
                    <xdr:rowOff>0</xdr:rowOff>
                  </from>
                  <to>
                    <xdr:col>1</xdr:col>
                    <xdr:colOff>0</xdr:colOff>
                    <xdr:row>33</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tabColor indexed="23"/>
    <pageSetUpPr fitToPage="1"/>
  </sheetPr>
  <dimension ref="A1:Z121"/>
  <sheetViews>
    <sheetView showZeros="0" zoomScaleNormal="100" workbookViewId="0"/>
  </sheetViews>
  <sheetFormatPr baseColWidth="10" defaultColWidth="11.42578125" defaultRowHeight="12" x14ac:dyDescent="0.2"/>
  <cols>
    <col min="1" max="1" width="33.5703125" style="3" customWidth="1"/>
    <col min="2" max="2" width="15" style="3" customWidth="1"/>
    <col min="3" max="3" width="12.7109375" style="3" customWidth="1"/>
    <col min="4" max="4" width="14.5703125" style="3" customWidth="1"/>
    <col min="5" max="5" width="8.28515625" style="444" customWidth="1"/>
    <col min="6" max="8" width="11.42578125" style="3"/>
    <col min="9" max="9" width="16.5703125" style="3" customWidth="1"/>
    <col min="10" max="10" width="10.7109375" style="3" customWidth="1"/>
    <col min="11" max="11" width="11.42578125" style="3"/>
    <col min="12" max="12" width="9.7109375" style="3" customWidth="1"/>
    <col min="13" max="16" width="11.42578125" style="3" customWidth="1"/>
    <col min="17" max="17" width="11.42578125" style="3" hidden="1" customWidth="1"/>
    <col min="18" max="18" width="45.7109375" style="3" hidden="1" customWidth="1"/>
    <col min="19" max="23" width="11.42578125" style="3" customWidth="1"/>
    <col min="24" max="24" width="34.42578125" style="3" customWidth="1"/>
    <col min="25" max="25" width="31.7109375" style="487" hidden="1" customWidth="1"/>
    <col min="26" max="26" width="4.5703125" style="487" hidden="1" customWidth="1"/>
    <col min="27" max="16384" width="11.42578125" style="3"/>
  </cols>
  <sheetData>
    <row r="1" spans="1:26" s="2" customFormat="1" ht="18" x14ac:dyDescent="0.25">
      <c r="A1" s="292" t="s">
        <v>106</v>
      </c>
      <c r="B1" s="292"/>
      <c r="C1" s="148"/>
      <c r="D1" s="148"/>
      <c r="E1" s="439"/>
      <c r="F1" s="148"/>
      <c r="G1" s="148"/>
      <c r="H1" s="148"/>
      <c r="I1" s="148"/>
      <c r="J1" s="148"/>
      <c r="K1" s="149"/>
      <c r="L1" s="149"/>
      <c r="M1" s="149"/>
      <c r="N1" s="149"/>
      <c r="O1" s="149"/>
      <c r="P1" s="148"/>
      <c r="Q1" s="148"/>
      <c r="R1" s="148"/>
      <c r="S1" s="148"/>
      <c r="T1" s="148"/>
      <c r="U1" s="148"/>
      <c r="V1" s="148"/>
      <c r="Y1" s="485"/>
      <c r="Z1" s="485"/>
    </row>
    <row r="2" spans="1:26" ht="18" x14ac:dyDescent="0.25">
      <c r="A2" s="418" t="s">
        <v>107</v>
      </c>
      <c r="B2" s="418"/>
      <c r="C2" s="149"/>
      <c r="D2" s="149"/>
      <c r="E2" s="160"/>
      <c r="F2" s="149"/>
      <c r="G2" s="149"/>
      <c r="H2" s="149"/>
      <c r="I2" s="149"/>
      <c r="J2" s="149"/>
      <c r="K2" s="153"/>
      <c r="L2" s="154"/>
      <c r="M2" s="1"/>
      <c r="N2" s="148"/>
      <c r="O2" s="148"/>
      <c r="P2" s="149"/>
      <c r="Q2" s="149"/>
      <c r="R2" s="44" t="s">
        <v>108</v>
      </c>
      <c r="S2" s="149"/>
      <c r="T2" s="149"/>
      <c r="U2" s="149"/>
      <c r="V2" s="149"/>
      <c r="Y2" s="486">
        <v>0</v>
      </c>
    </row>
    <row r="3" spans="1:26" ht="12.75" x14ac:dyDescent="0.2">
      <c r="A3" s="149"/>
      <c r="B3" s="149"/>
      <c r="C3" s="149"/>
      <c r="D3" s="149"/>
      <c r="E3" s="160"/>
      <c r="F3" s="149"/>
      <c r="G3" s="149"/>
      <c r="H3" s="149"/>
      <c r="I3" s="149"/>
      <c r="J3" s="149"/>
      <c r="K3" s="153"/>
      <c r="L3" s="154"/>
      <c r="M3" s="1"/>
      <c r="N3" s="149"/>
      <c r="O3" s="149"/>
      <c r="P3" s="149"/>
      <c r="Q3" s="149"/>
      <c r="R3" s="44" t="s">
        <v>109</v>
      </c>
      <c r="S3" s="149"/>
      <c r="T3" s="149"/>
      <c r="U3" s="149"/>
      <c r="V3" s="149"/>
      <c r="Y3" s="486">
        <v>0</v>
      </c>
    </row>
    <row r="4" spans="1:26" ht="12.75" x14ac:dyDescent="0.2">
      <c r="A4" s="150" t="s">
        <v>110</v>
      </c>
      <c r="B4" s="556"/>
      <c r="C4" s="556"/>
      <c r="D4" s="556"/>
      <c r="E4" s="160"/>
      <c r="F4" s="149"/>
      <c r="G4" s="149"/>
      <c r="H4" s="149"/>
      <c r="I4" s="149"/>
      <c r="J4" s="149"/>
      <c r="K4" s="153"/>
      <c r="L4" s="154"/>
      <c r="M4" s="1"/>
      <c r="N4" s="149"/>
      <c r="O4" s="149"/>
      <c r="P4" s="149"/>
      <c r="Q4" s="149"/>
      <c r="R4" s="44" t="s">
        <v>111</v>
      </c>
      <c r="S4" s="149"/>
      <c r="T4" s="149"/>
      <c r="U4" s="149"/>
      <c r="V4" s="149"/>
      <c r="Y4" s="486" t="s">
        <v>49</v>
      </c>
    </row>
    <row r="5" spans="1:26" ht="12.75" x14ac:dyDescent="0.2">
      <c r="A5" s="150" t="s">
        <v>112</v>
      </c>
      <c r="B5" s="557"/>
      <c r="C5" s="557"/>
      <c r="D5" s="557"/>
      <c r="E5" s="160"/>
      <c r="F5" s="149"/>
      <c r="G5" s="149"/>
      <c r="H5" s="149"/>
      <c r="I5" s="149"/>
      <c r="J5" s="149"/>
      <c r="K5" s="153"/>
      <c r="L5" s="154"/>
      <c r="M5" s="1"/>
      <c r="N5" s="149"/>
      <c r="O5" s="149"/>
      <c r="P5" s="149"/>
      <c r="Q5" s="149"/>
      <c r="R5" s="44" t="s">
        <v>113</v>
      </c>
      <c r="S5" s="149"/>
      <c r="T5" s="149"/>
      <c r="U5" s="149"/>
      <c r="V5" s="149"/>
      <c r="Y5" s="486" t="s">
        <v>50</v>
      </c>
    </row>
    <row r="6" spans="1:26" ht="12.75" x14ac:dyDescent="0.2">
      <c r="A6" s="150" t="s">
        <v>114</v>
      </c>
      <c r="B6" s="557"/>
      <c r="C6" s="557"/>
      <c r="D6" s="557"/>
      <c r="E6" s="160"/>
      <c r="F6" s="149"/>
      <c r="G6" s="149"/>
      <c r="H6" s="149"/>
      <c r="I6" s="149"/>
      <c r="J6" s="149"/>
      <c r="K6" s="153"/>
      <c r="L6" s="154"/>
      <c r="M6" s="1"/>
      <c r="N6" s="149"/>
      <c r="O6" s="149"/>
      <c r="P6" s="149"/>
      <c r="Q6" s="149"/>
      <c r="R6" s="44" t="s">
        <v>115</v>
      </c>
      <c r="S6" s="149"/>
      <c r="T6" s="149"/>
      <c r="U6" s="149"/>
      <c r="V6" s="149"/>
      <c r="Y6" s="486" t="s">
        <v>52</v>
      </c>
      <c r="Z6" s="486"/>
    </row>
    <row r="7" spans="1:26" ht="12.75" x14ac:dyDescent="0.2">
      <c r="A7" s="150" t="s">
        <v>116</v>
      </c>
      <c r="B7" s="557"/>
      <c r="C7" s="557"/>
      <c r="D7" s="557"/>
      <c r="E7" s="160"/>
      <c r="F7" s="149"/>
      <c r="G7" s="149"/>
      <c r="H7" s="149"/>
      <c r="I7" s="149"/>
      <c r="J7" s="149"/>
      <c r="K7" s="153"/>
      <c r="L7" s="154"/>
      <c r="M7" s="1"/>
      <c r="N7" s="149"/>
      <c r="O7" s="149"/>
      <c r="P7" s="149"/>
      <c r="Q7" s="149"/>
      <c r="R7" s="44" t="s">
        <v>117</v>
      </c>
      <c r="S7" s="149"/>
      <c r="T7" s="149"/>
      <c r="U7" s="149"/>
      <c r="V7" s="149"/>
      <c r="X7" s="1"/>
      <c r="Y7" s="486" t="s">
        <v>54</v>
      </c>
      <c r="Z7" s="486">
        <v>0.19</v>
      </c>
    </row>
    <row r="8" spans="1:26" ht="13.5" thickBot="1" x14ac:dyDescent="0.25">
      <c r="A8" s="151"/>
      <c r="B8" s="149"/>
      <c r="C8" s="149"/>
      <c r="D8" s="152"/>
      <c r="E8" s="160"/>
      <c r="F8" s="156" t="s">
        <v>118</v>
      </c>
      <c r="G8" s="149"/>
      <c r="H8" s="149"/>
      <c r="I8" s="149"/>
      <c r="J8" s="149"/>
      <c r="K8" s="153"/>
      <c r="L8" s="154"/>
      <c r="M8" s="1"/>
      <c r="N8" s="149"/>
      <c r="O8" s="149"/>
      <c r="P8" s="149"/>
      <c r="Q8" s="149"/>
      <c r="R8" s="44" t="s">
        <v>119</v>
      </c>
      <c r="S8" s="149"/>
      <c r="T8" s="149"/>
      <c r="U8" s="149"/>
      <c r="V8" s="149"/>
      <c r="Y8" s="486" t="s">
        <v>57</v>
      </c>
      <c r="Z8" s="486">
        <v>0.19</v>
      </c>
    </row>
    <row r="9" spans="1:26" ht="13.5" thickBot="1" x14ac:dyDescent="0.25">
      <c r="A9" s="10" t="s">
        <v>120</v>
      </c>
      <c r="B9" s="5" t="s">
        <v>121</v>
      </c>
      <c r="C9" s="5" t="s">
        <v>122</v>
      </c>
      <c r="D9" s="438" t="s">
        <v>123</v>
      </c>
      <c r="E9" s="440" t="s">
        <v>124</v>
      </c>
      <c r="F9" s="149"/>
      <c r="G9" s="149"/>
      <c r="H9" s="149"/>
      <c r="I9" s="149"/>
      <c r="J9" s="149"/>
      <c r="K9" s="153"/>
      <c r="L9" s="154"/>
      <c r="M9" s="1"/>
      <c r="N9" s="149"/>
      <c r="O9" s="149"/>
      <c r="P9" s="149"/>
      <c r="Q9" s="149"/>
      <c r="R9" s="44" t="s">
        <v>125</v>
      </c>
      <c r="S9" s="149"/>
      <c r="T9" s="149"/>
      <c r="U9" s="149"/>
      <c r="V9" s="149"/>
      <c r="Y9" s="486" t="s">
        <v>58</v>
      </c>
      <c r="Z9" s="486">
        <v>0.19</v>
      </c>
    </row>
    <row r="10" spans="1:26" ht="14.25" x14ac:dyDescent="0.2">
      <c r="A10" s="219"/>
      <c r="B10" s="7"/>
      <c r="C10" s="450" t="str">
        <f>IF(ISERROR(VLOOKUP(A10,Code!$A$8:$F$59,6,0)),"",VLOOKUP(A10,Code!$A$8:$F$59,6,0))</f>
        <v/>
      </c>
      <c r="D10" s="220" t="str">
        <f>IF(ISERROR(C10*B10),"",C10*B10)</f>
        <v/>
      </c>
      <c r="E10" s="160"/>
      <c r="F10" s="295" t="s">
        <v>126</v>
      </c>
      <c r="G10" s="296"/>
      <c r="H10" s="295"/>
      <c r="I10" s="296"/>
      <c r="J10" s="149"/>
      <c r="K10" s="153"/>
      <c r="L10" s="154"/>
      <c r="M10" s="1"/>
      <c r="N10" s="149"/>
      <c r="O10" s="149"/>
      <c r="P10" s="149"/>
      <c r="Q10" s="149"/>
      <c r="R10" s="44" t="s">
        <v>127</v>
      </c>
      <c r="S10" s="149"/>
      <c r="T10" s="149"/>
      <c r="U10" s="149"/>
      <c r="V10" s="149"/>
      <c r="Y10" s="486" t="s">
        <v>463</v>
      </c>
      <c r="Z10" s="486">
        <v>0</v>
      </c>
    </row>
    <row r="11" spans="1:26" ht="14.25" x14ac:dyDescent="0.2">
      <c r="A11" s="219"/>
      <c r="B11" s="7"/>
      <c r="C11" s="204" t="str">
        <f>IF(ISERROR(VLOOKUP(A11,Code!$A$8:$F$59,6,0)),"",VLOOKUP(A11,Code!$A$8:$F$59,6,0))</f>
        <v/>
      </c>
      <c r="D11" s="220" t="str">
        <f>IF(ISERROR(C11*B11),"",C11*B11)</f>
        <v/>
      </c>
      <c r="E11" s="160"/>
      <c r="F11" s="149"/>
      <c r="G11" s="149"/>
      <c r="H11" s="149"/>
      <c r="I11" s="149"/>
      <c r="J11" s="149"/>
      <c r="K11" s="153"/>
      <c r="L11" s="154"/>
      <c r="M11" s="1"/>
      <c r="N11" s="149"/>
      <c r="O11" s="149"/>
      <c r="P11" s="149"/>
      <c r="Q11" s="149"/>
      <c r="R11" s="44" t="s">
        <v>128</v>
      </c>
      <c r="S11" s="149"/>
      <c r="T11" s="149"/>
      <c r="U11" s="149"/>
      <c r="V11" s="149"/>
      <c r="Z11" s="486"/>
    </row>
    <row r="12" spans="1:26" ht="14.25" x14ac:dyDescent="0.2">
      <c r="A12" s="219"/>
      <c r="B12" s="7"/>
      <c r="C12" s="204" t="str">
        <f>IF(ISERROR(VLOOKUP(A12,Code!$A$8:$F$59,6,0)),"",VLOOKUP(A12,Code!$A$8:$F$59,6,0))</f>
        <v/>
      </c>
      <c r="D12" s="220" t="str">
        <f>IF(ISERROR(C12*B12),"",C12*B12)</f>
        <v/>
      </c>
      <c r="E12" s="160"/>
      <c r="F12" s="149"/>
      <c r="G12" s="149"/>
      <c r="H12" s="149"/>
      <c r="I12" s="149"/>
      <c r="J12" s="149"/>
      <c r="K12" s="153"/>
      <c r="L12" s="154"/>
      <c r="M12" s="1"/>
      <c r="N12" s="149"/>
      <c r="O12" s="149"/>
      <c r="P12" s="149"/>
      <c r="Q12" s="149"/>
      <c r="R12" s="44" t="s">
        <v>129</v>
      </c>
      <c r="S12" s="149"/>
      <c r="T12" s="149"/>
      <c r="U12" s="149"/>
      <c r="V12" s="149"/>
      <c r="Z12" s="486"/>
    </row>
    <row r="13" spans="1:26" ht="15" thickBot="1" x14ac:dyDescent="0.25">
      <c r="A13" s="221"/>
      <c r="B13" s="7"/>
      <c r="C13" s="204" t="str">
        <f>IF(ISERROR(VLOOKUP(A13,Code!$A$8:$F$59,6,0)),"",VLOOKUP(A13,Code!$A$8:$F$59,6,0))</f>
        <v/>
      </c>
      <c r="D13" s="220" t="str">
        <f>IF(ISERROR(C13*B13),"",C13*B13)</f>
        <v/>
      </c>
      <c r="E13" s="160"/>
      <c r="F13" s="149"/>
      <c r="G13" s="155"/>
      <c r="H13" s="149"/>
      <c r="I13" s="149"/>
      <c r="J13" s="149"/>
      <c r="K13" s="153"/>
      <c r="L13" s="154"/>
      <c r="M13" s="1"/>
      <c r="N13" s="149"/>
      <c r="O13" s="149"/>
      <c r="P13" s="149"/>
      <c r="Q13" s="149"/>
      <c r="R13" s="44" t="s">
        <v>130</v>
      </c>
      <c r="S13" s="149"/>
      <c r="T13" s="149"/>
      <c r="U13" s="149"/>
      <c r="V13" s="149"/>
    </row>
    <row r="14" spans="1:26" ht="15.75" thickBot="1" x14ac:dyDescent="0.3">
      <c r="A14" s="5" t="s">
        <v>131</v>
      </c>
      <c r="B14" s="5"/>
      <c r="C14" s="11"/>
      <c r="D14" s="222">
        <f>SUM(D10:D13)</f>
        <v>0</v>
      </c>
      <c r="E14" s="160"/>
      <c r="F14" s="149"/>
      <c r="G14" s="149"/>
      <c r="H14" s="149"/>
      <c r="I14" s="149"/>
      <c r="J14" s="149"/>
      <c r="K14" s="153"/>
      <c r="L14" s="154"/>
      <c r="M14" s="1"/>
      <c r="N14" s="149"/>
      <c r="O14" s="149"/>
      <c r="P14" s="149"/>
      <c r="Q14" s="149"/>
      <c r="R14" s="44" t="s">
        <v>132</v>
      </c>
      <c r="S14" s="149"/>
      <c r="T14" s="149"/>
      <c r="U14" s="149"/>
      <c r="V14" s="149"/>
    </row>
    <row r="15" spans="1:26" ht="15" thickBot="1" x14ac:dyDescent="0.25">
      <c r="A15" s="149"/>
      <c r="B15" s="149"/>
      <c r="C15" s="149"/>
      <c r="D15" s="223"/>
      <c r="E15" s="160"/>
      <c r="F15" s="149"/>
      <c r="G15" s="149"/>
      <c r="H15" s="149"/>
      <c r="I15" s="149"/>
      <c r="J15" s="149"/>
      <c r="K15" s="153"/>
      <c r="L15" s="154"/>
      <c r="M15" s="1"/>
      <c r="N15" s="149"/>
      <c r="O15" s="149"/>
      <c r="P15" s="149"/>
      <c r="Q15" s="149"/>
      <c r="R15" s="44" t="s">
        <v>133</v>
      </c>
      <c r="S15" s="149"/>
      <c r="T15" s="149"/>
      <c r="U15" s="149"/>
      <c r="V15" s="149"/>
    </row>
    <row r="16" spans="1:26" ht="15" thickBot="1" x14ac:dyDescent="0.25">
      <c r="A16" s="10" t="s">
        <v>134</v>
      </c>
      <c r="B16" s="5" t="s">
        <v>121</v>
      </c>
      <c r="C16" s="5" t="s">
        <v>122</v>
      </c>
      <c r="D16" s="224" t="s">
        <v>123</v>
      </c>
      <c r="E16" s="440" t="s">
        <v>135</v>
      </c>
      <c r="F16" s="149"/>
      <c r="G16" s="149"/>
      <c r="H16" s="149"/>
      <c r="I16" s="149"/>
      <c r="J16" s="149"/>
      <c r="K16" s="153"/>
      <c r="L16" s="154"/>
      <c r="M16" s="1"/>
      <c r="N16" s="149"/>
      <c r="O16" s="149"/>
      <c r="P16" s="149"/>
      <c r="Q16" s="149"/>
      <c r="R16" s="44" t="s">
        <v>136</v>
      </c>
      <c r="S16" s="149"/>
      <c r="T16" s="149"/>
      <c r="U16" s="149"/>
      <c r="V16" s="149"/>
    </row>
    <row r="17" spans="1:22" ht="14.25" x14ac:dyDescent="0.2">
      <c r="A17" s="219"/>
      <c r="B17" s="7"/>
      <c r="C17" s="204" t="str">
        <f>IF(ISERROR(VLOOKUP(A17,Code!$A$8:$F$59,6,0)),"",VLOOKUP(A17,Code!$A$8:$F$59,6,0))</f>
        <v/>
      </c>
      <c r="D17" s="220" t="str">
        <f>IF(ISERROR(C17*B17),"",C17*B17)</f>
        <v/>
      </c>
      <c r="E17" s="160"/>
      <c r="F17" s="149"/>
      <c r="G17" s="149"/>
      <c r="H17" s="149"/>
      <c r="I17" s="149"/>
      <c r="J17" s="149"/>
      <c r="K17" s="153"/>
      <c r="L17" s="154"/>
      <c r="M17" s="1"/>
      <c r="N17" s="149"/>
      <c r="O17" s="149"/>
      <c r="P17" s="149"/>
      <c r="Q17" s="149"/>
      <c r="R17" s="44" t="s">
        <v>137</v>
      </c>
      <c r="S17" s="149"/>
      <c r="T17" s="149"/>
      <c r="U17" s="149"/>
      <c r="V17" s="149"/>
    </row>
    <row r="18" spans="1:22" ht="14.25" x14ac:dyDescent="0.2">
      <c r="A18" s="219"/>
      <c r="B18" s="7"/>
      <c r="C18" s="204" t="str">
        <f>IF(ISERROR(VLOOKUP(A18,Code!$A$8:$F$59,6,0)),"",VLOOKUP(A18,Code!$A$8:$F$59,6,0))</f>
        <v/>
      </c>
      <c r="D18" s="220" t="str">
        <f>IF(ISERROR(C18*B18),"",C18*B18)</f>
        <v/>
      </c>
      <c r="E18" s="160"/>
      <c r="F18" s="149"/>
      <c r="G18" s="149"/>
      <c r="H18" s="149"/>
      <c r="I18" s="149"/>
      <c r="J18" s="149"/>
      <c r="K18" s="153"/>
      <c r="L18" s="154"/>
      <c r="M18" s="1"/>
      <c r="N18" s="149"/>
      <c r="O18" s="149"/>
      <c r="P18" s="149"/>
      <c r="Q18" s="149"/>
      <c r="R18" s="44" t="s">
        <v>138</v>
      </c>
      <c r="S18" s="149"/>
      <c r="T18" s="149"/>
      <c r="U18" s="149"/>
      <c r="V18" s="149"/>
    </row>
    <row r="19" spans="1:22" ht="15" thickBot="1" x14ac:dyDescent="0.25">
      <c r="A19" s="219"/>
      <c r="B19" s="7"/>
      <c r="C19" s="204" t="str">
        <f>IF(ISERROR(VLOOKUP(A19,Code!$A$8:$F$59,6,0)),"",VLOOKUP(A19,Code!$A$8:$F$59,6,0))</f>
        <v/>
      </c>
      <c r="D19" s="220" t="str">
        <f>IF(ISERROR(C19*B19),"",C19*B19)</f>
        <v/>
      </c>
      <c r="E19" s="160"/>
      <c r="F19" s="149"/>
      <c r="G19" s="149"/>
      <c r="H19" s="149"/>
      <c r="I19" s="149"/>
      <c r="J19" s="149"/>
      <c r="K19" s="153"/>
      <c r="L19" s="154"/>
      <c r="M19" s="1"/>
      <c r="N19" s="149"/>
      <c r="O19" s="149"/>
      <c r="P19" s="149"/>
      <c r="Q19" s="149"/>
      <c r="R19" s="44" t="s">
        <v>139</v>
      </c>
      <c r="S19" s="149"/>
      <c r="T19" s="149"/>
      <c r="U19" s="149"/>
      <c r="V19" s="149"/>
    </row>
    <row r="20" spans="1:22" ht="15.75" thickBot="1" x14ac:dyDescent="0.3">
      <c r="A20" s="5" t="s">
        <v>131</v>
      </c>
      <c r="B20" s="5"/>
      <c r="C20" s="11"/>
      <c r="D20" s="222">
        <f>SUM(D17:D19)</f>
        <v>0</v>
      </c>
      <c r="E20" s="160"/>
      <c r="F20" s="149"/>
      <c r="G20" s="149"/>
      <c r="H20" s="149"/>
      <c r="I20" s="149"/>
      <c r="J20" s="149"/>
      <c r="K20" s="153"/>
      <c r="L20" s="154"/>
      <c r="M20" s="1"/>
      <c r="N20" s="149"/>
      <c r="O20" s="149"/>
      <c r="P20" s="149"/>
      <c r="Q20" s="149"/>
      <c r="R20" s="44" t="s">
        <v>140</v>
      </c>
      <c r="S20" s="149"/>
      <c r="T20" s="149"/>
      <c r="U20" s="149"/>
      <c r="V20" s="149"/>
    </row>
    <row r="21" spans="1:22" ht="15" thickBot="1" x14ac:dyDescent="0.25">
      <c r="A21" s="150"/>
      <c r="B21" s="149"/>
      <c r="C21" s="149"/>
      <c r="D21" s="225"/>
      <c r="E21" s="160"/>
      <c r="F21" s="149"/>
      <c r="G21" s="149"/>
      <c r="H21" s="149"/>
      <c r="I21" s="149"/>
      <c r="J21" s="149"/>
      <c r="K21" s="153"/>
      <c r="L21" s="154"/>
      <c r="M21" s="1"/>
      <c r="N21" s="149"/>
      <c r="O21" s="149"/>
      <c r="P21" s="149"/>
      <c r="Q21" s="149"/>
      <c r="R21" s="44" t="s">
        <v>141</v>
      </c>
      <c r="S21" s="149"/>
      <c r="T21" s="149"/>
      <c r="U21" s="149"/>
      <c r="V21" s="149"/>
    </row>
    <row r="22" spans="1:22" ht="15" thickBot="1" x14ac:dyDescent="0.25">
      <c r="A22" s="4" t="s">
        <v>142</v>
      </c>
      <c r="B22" s="5" t="s">
        <v>121</v>
      </c>
      <c r="C22" s="5" t="s">
        <v>122</v>
      </c>
      <c r="D22" s="224" t="s">
        <v>123</v>
      </c>
      <c r="E22" s="440">
        <v>950</v>
      </c>
      <c r="F22" s="149"/>
      <c r="G22" s="149"/>
      <c r="H22" s="149"/>
      <c r="I22" s="149"/>
      <c r="J22" s="149"/>
      <c r="K22" s="1"/>
      <c r="L22" s="1"/>
      <c r="M22" s="1"/>
      <c r="N22" s="149"/>
      <c r="O22" s="149"/>
      <c r="P22" s="149"/>
      <c r="Q22" s="149"/>
      <c r="R22" s="44" t="s">
        <v>143</v>
      </c>
      <c r="S22" s="149"/>
      <c r="T22" s="149"/>
      <c r="U22" s="149"/>
      <c r="V22" s="149"/>
    </row>
    <row r="23" spans="1:22" ht="14.25" x14ac:dyDescent="0.2">
      <c r="A23" s="205"/>
      <c r="B23" s="7"/>
      <c r="C23" s="8"/>
      <c r="D23" s="226">
        <f t="shared" ref="D23:D28" si="0">C23*B23</f>
        <v>0</v>
      </c>
      <c r="E23" s="160"/>
      <c r="F23" s="297" t="s">
        <v>144</v>
      </c>
      <c r="G23" s="298"/>
      <c r="H23" s="298"/>
      <c r="I23" s="299"/>
      <c r="J23" s="149"/>
      <c r="K23" s="1"/>
      <c r="L23" s="1"/>
      <c r="M23" s="1"/>
      <c r="N23" s="149"/>
      <c r="O23" s="149"/>
      <c r="P23" s="149"/>
      <c r="Q23" s="149"/>
      <c r="R23" s="44" t="s">
        <v>145</v>
      </c>
      <c r="S23" s="149"/>
      <c r="T23" s="149"/>
      <c r="U23" s="149"/>
      <c r="V23" s="149"/>
    </row>
    <row r="24" spans="1:22" ht="14.25" x14ac:dyDescent="0.2">
      <c r="A24" s="206"/>
      <c r="B24" s="9"/>
      <c r="C24" s="8"/>
      <c r="D24" s="226">
        <f t="shared" si="0"/>
        <v>0</v>
      </c>
      <c r="E24" s="160"/>
      <c r="F24" s="300" t="s">
        <v>146</v>
      </c>
      <c r="G24" s="301"/>
      <c r="H24" s="301"/>
      <c r="I24" s="302"/>
      <c r="J24" s="149"/>
      <c r="K24" s="1"/>
      <c r="L24" s="1"/>
      <c r="M24" s="1"/>
      <c r="N24" s="149"/>
      <c r="O24" s="149"/>
      <c r="P24" s="149"/>
      <c r="Q24" s="149"/>
      <c r="R24" s="44" t="s">
        <v>147</v>
      </c>
      <c r="S24" s="149"/>
      <c r="T24" s="149"/>
      <c r="U24" s="149"/>
      <c r="V24" s="149"/>
    </row>
    <row r="25" spans="1:22" ht="14.25" x14ac:dyDescent="0.2">
      <c r="A25" s="206"/>
      <c r="B25" s="9"/>
      <c r="C25" s="8"/>
      <c r="D25" s="226">
        <f t="shared" si="0"/>
        <v>0</v>
      </c>
      <c r="E25" s="160"/>
      <c r="F25" s="149"/>
      <c r="G25" s="149"/>
      <c r="H25" s="149"/>
      <c r="I25" s="149"/>
      <c r="J25" s="149"/>
      <c r="K25" s="1"/>
      <c r="L25" s="1"/>
      <c r="M25" s="1"/>
      <c r="N25" s="149"/>
      <c r="O25" s="149"/>
      <c r="P25" s="149"/>
      <c r="Q25" s="149"/>
      <c r="R25" s="44" t="s">
        <v>148</v>
      </c>
      <c r="S25" s="149"/>
      <c r="T25" s="149"/>
      <c r="U25" s="149"/>
      <c r="V25" s="149"/>
    </row>
    <row r="26" spans="1:22" ht="14.25" x14ac:dyDescent="0.2">
      <c r="A26" s="206"/>
      <c r="B26" s="9"/>
      <c r="C26" s="8"/>
      <c r="D26" s="226">
        <f t="shared" si="0"/>
        <v>0</v>
      </c>
      <c r="E26" s="160"/>
      <c r="F26" s="149"/>
      <c r="G26" s="149"/>
      <c r="H26" s="149"/>
      <c r="I26" s="149"/>
      <c r="J26" s="149"/>
      <c r="K26" s="1"/>
      <c r="L26" s="1"/>
      <c r="M26" s="1"/>
      <c r="N26" s="149"/>
      <c r="O26" s="149"/>
      <c r="P26" s="149"/>
      <c r="Q26" s="149"/>
      <c r="R26" s="44" t="s">
        <v>149</v>
      </c>
      <c r="S26" s="149"/>
      <c r="T26" s="149"/>
      <c r="U26" s="149"/>
      <c r="V26" s="149"/>
    </row>
    <row r="27" spans="1:22" ht="14.25" x14ac:dyDescent="0.2">
      <c r="A27" s="206"/>
      <c r="B27" s="9"/>
      <c r="C27" s="8"/>
      <c r="D27" s="226">
        <f t="shared" si="0"/>
        <v>0</v>
      </c>
      <c r="E27" s="160"/>
      <c r="F27" s="149"/>
      <c r="G27" s="149"/>
      <c r="H27" s="149"/>
      <c r="I27" s="149"/>
      <c r="J27" s="149"/>
      <c r="K27" s="1"/>
      <c r="L27" s="1"/>
      <c r="M27" s="1"/>
      <c r="N27" s="149"/>
      <c r="O27" s="149"/>
      <c r="P27" s="149"/>
      <c r="Q27" s="149"/>
      <c r="R27" s="44" t="s">
        <v>150</v>
      </c>
      <c r="S27" s="149"/>
      <c r="T27" s="149"/>
      <c r="U27" s="149"/>
      <c r="V27" s="149"/>
    </row>
    <row r="28" spans="1:22" ht="15" thickBot="1" x14ac:dyDescent="0.25">
      <c r="A28" s="206"/>
      <c r="B28" s="9"/>
      <c r="C28" s="8"/>
      <c r="D28" s="226">
        <f t="shared" si="0"/>
        <v>0</v>
      </c>
      <c r="E28" s="160"/>
      <c r="G28" s="149"/>
      <c r="H28" s="149"/>
      <c r="I28" s="149"/>
      <c r="J28" s="149"/>
      <c r="K28" s="1"/>
      <c r="L28" s="1"/>
      <c r="M28" s="1"/>
      <c r="N28" s="149"/>
      <c r="O28" s="149"/>
      <c r="P28" s="149"/>
      <c r="Q28" s="149"/>
      <c r="R28" s="44" t="s">
        <v>151</v>
      </c>
      <c r="S28" s="149"/>
      <c r="T28" s="149"/>
      <c r="U28" s="149"/>
      <c r="V28" s="149"/>
    </row>
    <row r="29" spans="1:22" ht="15.75" thickBot="1" x14ac:dyDescent="0.3">
      <c r="A29" s="5" t="s">
        <v>131</v>
      </c>
      <c r="B29" s="5"/>
      <c r="C29" s="6"/>
      <c r="D29" s="227">
        <f>SUM(D23:D28)</f>
        <v>0</v>
      </c>
      <c r="E29" s="160"/>
      <c r="F29" s="149"/>
      <c r="G29" s="149"/>
      <c r="H29" s="149"/>
      <c r="I29" s="149"/>
      <c r="J29" s="149"/>
      <c r="K29" s="1"/>
      <c r="L29" s="1"/>
      <c r="M29" s="1"/>
      <c r="N29" s="149"/>
      <c r="O29" s="149"/>
      <c r="P29" s="149"/>
      <c r="Q29" s="149"/>
      <c r="R29" s="44" t="s">
        <v>152</v>
      </c>
      <c r="S29" s="149"/>
      <c r="T29" s="149"/>
      <c r="U29" s="149"/>
      <c r="V29" s="149"/>
    </row>
    <row r="30" spans="1:22" ht="15" thickBot="1" x14ac:dyDescent="0.25">
      <c r="A30" s="150"/>
      <c r="B30" s="149"/>
      <c r="C30" s="149"/>
      <c r="D30" s="225"/>
      <c r="E30" s="160"/>
      <c r="F30" s="149"/>
      <c r="G30" s="149"/>
      <c r="H30" s="149"/>
      <c r="I30" s="149"/>
      <c r="J30" s="149"/>
      <c r="K30" s="1"/>
      <c r="L30" s="1"/>
      <c r="M30" s="1"/>
      <c r="N30" s="149"/>
      <c r="O30" s="149"/>
      <c r="P30" s="149"/>
      <c r="Q30" s="149"/>
      <c r="R30" s="284" t="s">
        <v>153</v>
      </c>
      <c r="S30" s="149"/>
      <c r="T30" s="149"/>
      <c r="U30" s="149"/>
      <c r="V30" s="149"/>
    </row>
    <row r="31" spans="1:22" ht="15" thickBot="1" x14ac:dyDescent="0.25">
      <c r="A31" s="4" t="s">
        <v>154</v>
      </c>
      <c r="B31" s="5" t="s">
        <v>22</v>
      </c>
      <c r="C31" s="5" t="s">
        <v>122</v>
      </c>
      <c r="D31" s="224" t="s">
        <v>123</v>
      </c>
      <c r="E31" s="440" t="s">
        <v>155</v>
      </c>
      <c r="F31" s="149"/>
      <c r="G31" s="149"/>
      <c r="H31" s="149"/>
      <c r="I31" s="149"/>
      <c r="J31" s="149"/>
      <c r="K31" s="1"/>
      <c r="L31" s="1"/>
      <c r="M31" s="1"/>
      <c r="N31" s="149"/>
      <c r="O31" s="149"/>
      <c r="P31" s="149"/>
      <c r="Q31" s="149"/>
      <c r="R31" s="284" t="s">
        <v>156</v>
      </c>
      <c r="S31" s="149"/>
      <c r="T31" s="149"/>
      <c r="U31" s="149"/>
      <c r="V31" s="149"/>
    </row>
    <row r="32" spans="1:22" ht="14.25" x14ac:dyDescent="0.2">
      <c r="A32" s="205"/>
      <c r="B32" s="7"/>
      <c r="C32" s="8"/>
      <c r="D32" s="226">
        <f t="shared" ref="D32:D38" si="1">C32*B32</f>
        <v>0</v>
      </c>
      <c r="E32" s="160"/>
      <c r="F32" s="303" t="s">
        <v>157</v>
      </c>
      <c r="G32" s="304"/>
      <c r="H32" s="304"/>
      <c r="I32" s="305"/>
      <c r="J32" s="149"/>
      <c r="K32" s="1"/>
      <c r="L32" s="1"/>
      <c r="M32" s="1"/>
      <c r="N32" s="149"/>
      <c r="O32" s="149"/>
      <c r="P32" s="149"/>
      <c r="Q32" s="149"/>
      <c r="R32" s="44" t="s">
        <v>158</v>
      </c>
      <c r="S32" s="149"/>
      <c r="T32" s="149"/>
      <c r="U32" s="149"/>
      <c r="V32" s="149"/>
    </row>
    <row r="33" spans="1:22" ht="14.25" x14ac:dyDescent="0.2">
      <c r="A33" s="205"/>
      <c r="B33" s="7"/>
      <c r="C33" s="8"/>
      <c r="D33" s="226">
        <f t="shared" si="1"/>
        <v>0</v>
      </c>
      <c r="E33" s="160"/>
      <c r="F33" s="306" t="s">
        <v>159</v>
      </c>
      <c r="G33" s="307"/>
      <c r="H33" s="307"/>
      <c r="I33" s="308"/>
      <c r="J33" s="149"/>
      <c r="K33" s="149"/>
      <c r="L33" s="149"/>
      <c r="M33" s="149"/>
      <c r="N33" s="149"/>
      <c r="O33" s="149"/>
      <c r="P33" s="149"/>
      <c r="Q33" s="149"/>
      <c r="R33" s="44" t="s">
        <v>160</v>
      </c>
      <c r="S33" s="149"/>
      <c r="T33" s="149"/>
      <c r="U33" s="149"/>
      <c r="V33" s="149"/>
    </row>
    <row r="34" spans="1:22" ht="14.25" x14ac:dyDescent="0.2">
      <c r="A34" s="206"/>
      <c r="B34" s="9"/>
      <c r="C34" s="8"/>
      <c r="D34" s="226">
        <f t="shared" si="1"/>
        <v>0</v>
      </c>
      <c r="E34" s="160"/>
      <c r="F34" s="309" t="s">
        <v>161</v>
      </c>
      <c r="G34" s="310"/>
      <c r="H34" s="310"/>
      <c r="I34" s="311"/>
      <c r="J34" s="149"/>
      <c r="K34" s="149"/>
      <c r="L34" s="149"/>
      <c r="M34" s="149"/>
      <c r="N34" s="149"/>
      <c r="O34" s="149"/>
      <c r="P34" s="149"/>
      <c r="Q34" s="149"/>
      <c r="R34" s="44" t="s">
        <v>162</v>
      </c>
      <c r="S34" s="149"/>
      <c r="T34" s="149"/>
      <c r="U34" s="149"/>
      <c r="V34" s="149"/>
    </row>
    <row r="35" spans="1:22" ht="14.25" x14ac:dyDescent="0.2">
      <c r="A35" s="206"/>
      <c r="B35" s="9"/>
      <c r="C35" s="8"/>
      <c r="D35" s="226">
        <f t="shared" si="1"/>
        <v>0</v>
      </c>
      <c r="E35" s="160"/>
      <c r="F35" s="149"/>
      <c r="G35" s="149"/>
      <c r="H35" s="149"/>
      <c r="I35" s="149"/>
      <c r="J35" s="149"/>
      <c r="K35" s="149"/>
      <c r="L35" s="149"/>
      <c r="M35" s="149"/>
      <c r="N35" s="149"/>
      <c r="O35" s="149"/>
      <c r="P35" s="149"/>
      <c r="Q35" s="149"/>
      <c r="R35" s="44" t="s">
        <v>163</v>
      </c>
      <c r="S35" s="149"/>
      <c r="T35" s="149"/>
      <c r="U35" s="149"/>
      <c r="V35" s="149"/>
    </row>
    <row r="36" spans="1:22" ht="14.25" x14ac:dyDescent="0.2">
      <c r="A36" s="206"/>
      <c r="B36" s="9"/>
      <c r="C36" s="8"/>
      <c r="D36" s="226">
        <f t="shared" si="1"/>
        <v>0</v>
      </c>
      <c r="E36" s="160"/>
      <c r="F36" s="149"/>
      <c r="G36" s="149"/>
      <c r="H36" s="149"/>
      <c r="I36" s="149"/>
      <c r="J36" s="149"/>
      <c r="K36" s="149"/>
      <c r="L36" s="149"/>
      <c r="M36" s="149"/>
      <c r="N36" s="149"/>
      <c r="O36" s="149"/>
      <c r="P36" s="149"/>
      <c r="Q36" s="149"/>
      <c r="R36" s="44" t="s">
        <v>164</v>
      </c>
      <c r="S36" s="149"/>
      <c r="T36" s="149"/>
      <c r="U36" s="149"/>
      <c r="V36" s="149"/>
    </row>
    <row r="37" spans="1:22" ht="14.25" x14ac:dyDescent="0.2">
      <c r="A37" s="206"/>
      <c r="B37" s="9"/>
      <c r="C37" s="8"/>
      <c r="D37" s="226">
        <f t="shared" si="1"/>
        <v>0</v>
      </c>
      <c r="E37" s="160"/>
      <c r="F37" s="149"/>
      <c r="G37" s="149"/>
      <c r="H37" s="149"/>
      <c r="I37" s="149"/>
      <c r="J37" s="149"/>
      <c r="K37" s="149"/>
      <c r="L37" s="149"/>
      <c r="M37" s="149"/>
      <c r="N37" s="149"/>
      <c r="O37" s="149"/>
      <c r="P37" s="149"/>
      <c r="Q37" s="149"/>
      <c r="R37" s="44" t="s">
        <v>165</v>
      </c>
      <c r="S37" s="149"/>
      <c r="T37" s="149"/>
      <c r="U37" s="149"/>
      <c r="V37" s="149"/>
    </row>
    <row r="38" spans="1:22" ht="15" thickBot="1" x14ac:dyDescent="0.25">
      <c r="A38" s="206"/>
      <c r="B38" s="9"/>
      <c r="C38" s="8"/>
      <c r="D38" s="226">
        <f t="shared" si="1"/>
        <v>0</v>
      </c>
      <c r="E38" s="160"/>
      <c r="F38" s="149"/>
      <c r="G38" s="149"/>
      <c r="H38" s="149"/>
      <c r="I38" s="149"/>
      <c r="J38" s="149"/>
      <c r="K38" s="149"/>
      <c r="L38" s="149"/>
      <c r="M38" s="149"/>
      <c r="N38" s="149"/>
      <c r="O38" s="149"/>
      <c r="P38" s="149"/>
      <c r="Q38" s="149"/>
      <c r="R38" s="44" t="s">
        <v>166</v>
      </c>
      <c r="S38" s="149"/>
      <c r="T38" s="149"/>
      <c r="U38" s="149"/>
      <c r="V38" s="149"/>
    </row>
    <row r="39" spans="1:22" ht="15.75" thickBot="1" x14ac:dyDescent="0.3">
      <c r="A39" s="5" t="s">
        <v>131</v>
      </c>
      <c r="B39" s="5"/>
      <c r="C39" s="6"/>
      <c r="D39" s="227">
        <f>SUM(D32:D38)</f>
        <v>0</v>
      </c>
      <c r="E39" s="160"/>
      <c r="F39" s="149"/>
      <c r="G39" s="149"/>
      <c r="H39" s="149"/>
      <c r="I39" s="149"/>
      <c r="J39" s="149"/>
      <c r="K39" s="149"/>
      <c r="L39" s="149"/>
      <c r="M39" s="149"/>
      <c r="N39" s="149"/>
      <c r="O39" s="149"/>
      <c r="P39" s="149"/>
      <c r="Q39" s="149"/>
      <c r="R39" s="44" t="s">
        <v>167</v>
      </c>
      <c r="S39" s="149"/>
      <c r="T39" s="149"/>
      <c r="U39" s="149"/>
      <c r="V39" s="149"/>
    </row>
    <row r="40" spans="1:22" ht="15" thickBot="1" x14ac:dyDescent="0.25">
      <c r="A40" s="149"/>
      <c r="B40" s="149"/>
      <c r="C40" s="149"/>
      <c r="D40" s="225"/>
      <c r="E40" s="160"/>
      <c r="F40" s="149"/>
      <c r="G40" s="149"/>
      <c r="H40" s="149"/>
      <c r="I40" s="149"/>
      <c r="J40" s="149"/>
      <c r="K40" s="149"/>
      <c r="L40" s="149"/>
      <c r="M40" s="149"/>
      <c r="N40" s="149"/>
      <c r="O40" s="149"/>
      <c r="P40" s="149"/>
      <c r="Q40" s="149"/>
      <c r="R40" s="44" t="s">
        <v>168</v>
      </c>
      <c r="S40" s="149"/>
      <c r="T40" s="149"/>
      <c r="U40" s="149"/>
      <c r="V40" s="149"/>
    </row>
    <row r="41" spans="1:22" ht="15" thickBot="1" x14ac:dyDescent="0.25">
      <c r="A41" s="4" t="s">
        <v>169</v>
      </c>
      <c r="B41" s="5" t="s">
        <v>22</v>
      </c>
      <c r="C41" s="5" t="s">
        <v>122</v>
      </c>
      <c r="D41" s="224" t="s">
        <v>123</v>
      </c>
      <c r="E41" s="440">
        <v>933</v>
      </c>
      <c r="F41" s="149"/>
      <c r="G41" s="149"/>
      <c r="H41" s="149"/>
      <c r="I41" s="149"/>
      <c r="J41" s="149"/>
      <c r="K41" s="149"/>
      <c r="L41" s="149"/>
      <c r="M41" s="149"/>
      <c r="N41" s="149"/>
      <c r="O41" s="149"/>
      <c r="P41" s="149"/>
      <c r="Q41" s="149"/>
      <c r="R41" s="44" t="s">
        <v>170</v>
      </c>
      <c r="S41" s="149"/>
      <c r="T41" s="149"/>
      <c r="U41" s="149"/>
      <c r="V41" s="149"/>
    </row>
    <row r="42" spans="1:22" ht="14.25" x14ac:dyDescent="0.2">
      <c r="A42" s="205"/>
      <c r="B42" s="7"/>
      <c r="C42" s="8"/>
      <c r="D42" s="226">
        <f>C42*B42</f>
        <v>0</v>
      </c>
      <c r="E42" s="160"/>
      <c r="F42" s="149"/>
      <c r="G42" s="149"/>
      <c r="H42" s="149"/>
      <c r="I42" s="149"/>
      <c r="J42" s="149"/>
      <c r="K42" s="149"/>
      <c r="L42" s="149"/>
      <c r="M42" s="149"/>
      <c r="N42" s="149"/>
      <c r="O42" s="149"/>
      <c r="P42" s="149"/>
      <c r="Q42" s="149"/>
      <c r="R42" s="284" t="s">
        <v>171</v>
      </c>
      <c r="S42" s="149"/>
      <c r="T42" s="149"/>
      <c r="U42" s="149"/>
      <c r="V42" s="149"/>
    </row>
    <row r="43" spans="1:22" ht="15" thickBot="1" x14ac:dyDescent="0.25">
      <c r="A43" s="206"/>
      <c r="B43" s="9"/>
      <c r="C43" s="8"/>
      <c r="D43" s="226">
        <f>C43*B43</f>
        <v>0</v>
      </c>
      <c r="E43" s="160"/>
      <c r="F43" s="149"/>
      <c r="G43" s="149"/>
      <c r="H43" s="149"/>
      <c r="I43" s="149"/>
      <c r="J43" s="149"/>
      <c r="K43" s="149"/>
      <c r="L43" s="149"/>
      <c r="M43" s="149"/>
      <c r="N43" s="149"/>
      <c r="O43" s="149"/>
      <c r="P43" s="149"/>
      <c r="Q43" s="149"/>
      <c r="R43" s="44" t="s">
        <v>172</v>
      </c>
      <c r="S43" s="149"/>
      <c r="T43" s="149"/>
      <c r="U43" s="149"/>
      <c r="V43" s="149"/>
    </row>
    <row r="44" spans="1:22" ht="15.75" thickBot="1" x14ac:dyDescent="0.3">
      <c r="A44" s="5" t="s">
        <v>131</v>
      </c>
      <c r="B44" s="5"/>
      <c r="C44" s="6"/>
      <c r="D44" s="227">
        <f>SUM(D42:D43)</f>
        <v>0</v>
      </c>
      <c r="E44" s="160"/>
      <c r="F44" s="149"/>
      <c r="G44" s="149"/>
      <c r="H44" s="149"/>
      <c r="I44" s="149"/>
      <c r="J44" s="149"/>
      <c r="K44" s="149"/>
      <c r="L44" s="149"/>
      <c r="M44" s="149"/>
      <c r="N44" s="149"/>
      <c r="O44" s="149"/>
      <c r="P44" s="149"/>
      <c r="Q44" s="149"/>
      <c r="R44" s="44" t="s">
        <v>173</v>
      </c>
      <c r="S44" s="149"/>
      <c r="T44" s="149"/>
      <c r="U44" s="149"/>
      <c r="V44" s="149"/>
    </row>
    <row r="45" spans="1:22" ht="15" thickBot="1" x14ac:dyDescent="0.25">
      <c r="A45" s="149"/>
      <c r="B45" s="149"/>
      <c r="C45" s="149"/>
      <c r="D45" s="223"/>
      <c r="E45" s="160"/>
      <c r="F45" s="149"/>
      <c r="G45" s="149"/>
      <c r="H45" s="149"/>
      <c r="I45" s="149"/>
      <c r="J45" s="149"/>
      <c r="K45" s="149"/>
      <c r="L45" s="149"/>
      <c r="M45" s="149"/>
      <c r="N45" s="149"/>
      <c r="O45" s="149"/>
      <c r="P45" s="149"/>
      <c r="Q45" s="149"/>
      <c r="R45" s="44" t="s">
        <v>174</v>
      </c>
      <c r="S45" s="149"/>
      <c r="T45" s="149"/>
      <c r="U45" s="149"/>
      <c r="V45" s="149"/>
    </row>
    <row r="46" spans="1:22" ht="15" thickBot="1" x14ac:dyDescent="0.25">
      <c r="A46" s="4" t="s">
        <v>175</v>
      </c>
      <c r="B46" s="5" t="s">
        <v>22</v>
      </c>
      <c r="C46" s="5" t="s">
        <v>122</v>
      </c>
      <c r="D46" s="224" t="s">
        <v>123</v>
      </c>
      <c r="E46" s="440">
        <v>945</v>
      </c>
      <c r="F46" s="149"/>
      <c r="G46" s="149"/>
      <c r="H46" s="149"/>
      <c r="I46" s="149"/>
      <c r="J46" s="149"/>
      <c r="K46" s="149"/>
      <c r="L46" s="149"/>
      <c r="M46" s="149"/>
      <c r="N46" s="149"/>
      <c r="O46" s="149"/>
      <c r="P46" s="149"/>
      <c r="Q46" s="149"/>
      <c r="R46" s="44" t="s">
        <v>176</v>
      </c>
      <c r="S46" s="149"/>
      <c r="T46" s="149"/>
      <c r="U46" s="149"/>
      <c r="V46" s="149"/>
    </row>
    <row r="47" spans="1:22" ht="14.25" x14ac:dyDescent="0.2">
      <c r="A47" s="205"/>
      <c r="B47" s="7"/>
      <c r="C47" s="8"/>
      <c r="D47" s="226">
        <f>C47*B47</f>
        <v>0</v>
      </c>
      <c r="E47" s="160"/>
      <c r="F47" s="312" t="s">
        <v>177</v>
      </c>
      <c r="G47" s="304"/>
      <c r="H47" s="304"/>
      <c r="I47" s="305"/>
      <c r="J47" s="149"/>
      <c r="K47" s="149"/>
      <c r="L47" s="149"/>
      <c r="M47" s="149"/>
      <c r="N47" s="149"/>
      <c r="O47" s="149"/>
      <c r="P47" s="149"/>
      <c r="Q47" s="149"/>
      <c r="R47" s="44" t="s">
        <v>178</v>
      </c>
      <c r="S47" s="149"/>
      <c r="T47" s="149"/>
      <c r="U47" s="149"/>
      <c r="V47" s="149"/>
    </row>
    <row r="48" spans="1:22" ht="15" thickBot="1" x14ac:dyDescent="0.25">
      <c r="A48" s="206"/>
      <c r="B48" s="9"/>
      <c r="C48" s="8"/>
      <c r="D48" s="226">
        <f>C48*B48</f>
        <v>0</v>
      </c>
      <c r="E48" s="160"/>
      <c r="F48" s="313" t="s">
        <v>460</v>
      </c>
      <c r="G48" s="314"/>
      <c r="H48" s="314"/>
      <c r="I48" s="315"/>
      <c r="J48" s="149"/>
      <c r="K48" s="149"/>
      <c r="L48" s="149"/>
      <c r="M48" s="149"/>
      <c r="N48" s="149"/>
      <c r="O48" s="149"/>
      <c r="P48" s="149"/>
      <c r="Q48" s="149"/>
      <c r="R48" s="44" t="s">
        <v>179</v>
      </c>
      <c r="S48" s="149"/>
      <c r="T48" s="149"/>
      <c r="U48" s="149"/>
      <c r="V48" s="149"/>
    </row>
    <row r="49" spans="1:22" ht="15.75" thickBot="1" x14ac:dyDescent="0.3">
      <c r="A49" s="5" t="s">
        <v>131</v>
      </c>
      <c r="B49" s="5"/>
      <c r="C49" s="6"/>
      <c r="D49" s="227">
        <f>SUM(D47:D48)</f>
        <v>0</v>
      </c>
      <c r="E49" s="160"/>
      <c r="F49" s="149"/>
      <c r="G49" s="149"/>
      <c r="H49" s="149"/>
      <c r="I49" s="149"/>
      <c r="J49" s="149"/>
      <c r="K49" s="149"/>
      <c r="L49" s="149"/>
      <c r="M49" s="149"/>
      <c r="N49" s="149"/>
      <c r="O49" s="149"/>
      <c r="P49" s="149"/>
      <c r="Q49" s="149"/>
      <c r="R49" s="44" t="s">
        <v>180</v>
      </c>
      <c r="S49" s="149"/>
      <c r="T49" s="149"/>
      <c r="U49" s="149"/>
      <c r="V49" s="149"/>
    </row>
    <row r="50" spans="1:22" ht="14.25" x14ac:dyDescent="0.2">
      <c r="A50" s="149"/>
      <c r="B50" s="149"/>
      <c r="C50" s="149"/>
      <c r="D50" s="225"/>
      <c r="E50" s="160"/>
      <c r="F50" s="149"/>
      <c r="G50" s="149"/>
      <c r="H50" s="149"/>
      <c r="I50" s="149"/>
      <c r="J50" s="149"/>
      <c r="K50" s="149"/>
      <c r="L50" s="149"/>
      <c r="M50" s="149"/>
      <c r="N50" s="149"/>
      <c r="O50" s="149"/>
      <c r="P50" s="149"/>
      <c r="Q50" s="149"/>
      <c r="R50" s="44"/>
      <c r="S50" s="149"/>
      <c r="T50" s="149"/>
      <c r="U50" s="149"/>
      <c r="V50" s="149"/>
    </row>
    <row r="51" spans="1:22" ht="15" x14ac:dyDescent="0.25">
      <c r="A51" s="228" t="s">
        <v>181</v>
      </c>
      <c r="B51" s="149"/>
      <c r="C51" s="157"/>
      <c r="D51" s="229">
        <f>D14+D20+D29+D39+D44+D49</f>
        <v>0</v>
      </c>
      <c r="E51" s="160"/>
      <c r="F51" s="149"/>
      <c r="G51" s="149"/>
      <c r="H51" s="149"/>
      <c r="I51" s="149"/>
      <c r="J51" s="149"/>
      <c r="K51" s="149"/>
      <c r="L51" s="149"/>
      <c r="M51" s="149"/>
      <c r="N51" s="149"/>
      <c r="O51" s="149"/>
      <c r="P51" s="149"/>
      <c r="Q51" s="149"/>
      <c r="R51" s="44"/>
      <c r="S51" s="149"/>
      <c r="T51" s="149"/>
      <c r="U51" s="149"/>
      <c r="V51" s="149"/>
    </row>
    <row r="52" spans="1:22" ht="14.25" x14ac:dyDescent="0.2">
      <c r="A52" s="149"/>
      <c r="B52" s="149"/>
      <c r="C52" s="149"/>
      <c r="D52" s="225"/>
      <c r="E52" s="160"/>
      <c r="F52" s="149"/>
      <c r="G52" s="149"/>
      <c r="H52" s="149"/>
      <c r="I52" s="149"/>
      <c r="J52" s="149"/>
      <c r="K52" s="149"/>
      <c r="L52" s="149"/>
      <c r="M52" s="149"/>
      <c r="N52" s="149"/>
      <c r="O52" s="149"/>
      <c r="P52" s="149"/>
      <c r="Q52" s="149"/>
      <c r="R52" s="44"/>
      <c r="S52" s="149"/>
      <c r="T52" s="149"/>
      <c r="U52" s="149"/>
      <c r="V52" s="149"/>
    </row>
    <row r="53" spans="1:22" ht="18" x14ac:dyDescent="0.25">
      <c r="A53" s="292" t="s">
        <v>106</v>
      </c>
      <c r="B53" s="292"/>
      <c r="C53" s="148"/>
      <c r="D53" s="148"/>
      <c r="E53" s="160"/>
      <c r="F53" s="149"/>
      <c r="G53" s="149"/>
      <c r="H53" s="149"/>
      <c r="I53" s="149"/>
      <c r="J53" s="149"/>
      <c r="K53" s="149"/>
      <c r="L53" s="149"/>
      <c r="M53" s="149"/>
      <c r="N53" s="149"/>
      <c r="O53" s="149"/>
      <c r="P53" s="149"/>
      <c r="Q53" s="149"/>
      <c r="R53" s="44"/>
      <c r="S53" s="149"/>
      <c r="T53" s="149"/>
      <c r="U53" s="149"/>
      <c r="V53" s="149"/>
    </row>
    <row r="54" spans="1:22" ht="15.75" x14ac:dyDescent="0.25">
      <c r="A54" s="418" t="s">
        <v>107</v>
      </c>
      <c r="B54" s="418"/>
      <c r="C54" s="149"/>
      <c r="D54" s="225"/>
      <c r="E54" s="160"/>
      <c r="F54" s="149"/>
      <c r="G54" s="149"/>
      <c r="H54" s="149"/>
      <c r="I54" s="149"/>
      <c r="J54" s="149"/>
      <c r="K54" s="149"/>
      <c r="L54" s="149"/>
      <c r="M54" s="149"/>
      <c r="N54" s="149"/>
      <c r="O54" s="149"/>
      <c r="P54" s="149"/>
      <c r="Q54" s="149"/>
      <c r="R54" s="44"/>
      <c r="S54" s="149"/>
      <c r="T54" s="149"/>
      <c r="U54" s="149"/>
      <c r="V54" s="149"/>
    </row>
    <row r="55" spans="1:22" ht="14.25" x14ac:dyDescent="0.2">
      <c r="A55" s="149"/>
      <c r="B55" s="149"/>
      <c r="C55" s="149"/>
      <c r="D55" s="225"/>
      <c r="E55" s="160"/>
      <c r="F55" s="149"/>
      <c r="G55" s="149"/>
      <c r="H55" s="149"/>
      <c r="I55" s="149"/>
      <c r="J55" s="149"/>
      <c r="K55" s="149"/>
      <c r="L55" s="149"/>
      <c r="M55" s="149"/>
      <c r="N55" s="149"/>
      <c r="O55" s="149"/>
      <c r="P55" s="149"/>
      <c r="Q55" s="149"/>
      <c r="R55" s="44"/>
      <c r="S55" s="149"/>
      <c r="T55" s="149"/>
      <c r="U55" s="149"/>
      <c r="V55" s="149"/>
    </row>
    <row r="56" spans="1:22" ht="14.25" customHeight="1" x14ac:dyDescent="0.2">
      <c r="A56" s="149"/>
      <c r="B56" s="149"/>
      <c r="C56" s="560" t="s">
        <v>182</v>
      </c>
      <c r="D56" s="225"/>
      <c r="E56" s="160"/>
      <c r="F56" s="538" t="s">
        <v>458</v>
      </c>
      <c r="G56" s="539"/>
      <c r="H56" s="539"/>
      <c r="I56" s="540"/>
      <c r="J56" s="149"/>
      <c r="K56" s="149"/>
      <c r="L56" s="149"/>
      <c r="M56" s="149"/>
      <c r="N56" s="149"/>
      <c r="O56" s="149"/>
      <c r="P56" s="149"/>
      <c r="Q56" s="149"/>
      <c r="R56" s="44"/>
      <c r="S56" s="149"/>
      <c r="T56" s="149"/>
      <c r="U56" s="149"/>
      <c r="V56" s="149"/>
    </row>
    <row r="57" spans="1:22" ht="15" x14ac:dyDescent="0.25">
      <c r="A57" s="228" t="s">
        <v>181</v>
      </c>
      <c r="B57" s="149"/>
      <c r="C57" s="561"/>
      <c r="D57" s="230">
        <f>D14+D20+D29+D39+D44+D49</f>
        <v>0</v>
      </c>
      <c r="E57" s="440">
        <v>960</v>
      </c>
      <c r="F57" s="541"/>
      <c r="G57" s="542"/>
      <c r="H57" s="542"/>
      <c r="I57" s="543"/>
      <c r="J57" s="149"/>
      <c r="K57" s="149"/>
      <c r="L57" s="149"/>
      <c r="M57" s="149"/>
      <c r="N57" s="149"/>
      <c r="O57" s="149"/>
      <c r="P57" s="149"/>
      <c r="Q57" s="149"/>
      <c r="R57" s="44"/>
      <c r="S57" s="149"/>
      <c r="T57" s="149"/>
      <c r="U57" s="149"/>
      <c r="V57" s="149"/>
    </row>
    <row r="58" spans="1:22" ht="42.75" customHeight="1" x14ac:dyDescent="0.25">
      <c r="A58" s="558" t="s">
        <v>183</v>
      </c>
      <c r="B58" s="559"/>
      <c r="C58" s="258"/>
      <c r="D58" s="257">
        <f>IF(C58="Ja",D57*0.05,0)</f>
        <v>0</v>
      </c>
      <c r="E58" s="160"/>
      <c r="F58" s="541"/>
      <c r="G58" s="542"/>
      <c r="H58" s="542"/>
      <c r="I58" s="543"/>
      <c r="J58" s="149"/>
      <c r="K58" s="149"/>
      <c r="L58" s="149"/>
      <c r="M58" s="149"/>
      <c r="N58" s="149"/>
      <c r="O58" s="149"/>
      <c r="P58" s="149"/>
      <c r="Q58" s="149"/>
      <c r="R58" s="149"/>
      <c r="S58" s="149"/>
      <c r="T58" s="149"/>
      <c r="U58" s="149"/>
      <c r="V58" s="149"/>
    </row>
    <row r="59" spans="1:22" ht="14.25" x14ac:dyDescent="0.2">
      <c r="A59" s="149"/>
      <c r="B59" s="149"/>
      <c r="C59" s="159"/>
      <c r="D59" s="231"/>
      <c r="E59" s="160"/>
      <c r="F59" s="544"/>
      <c r="G59" s="545"/>
      <c r="H59" s="545"/>
      <c r="I59" s="546"/>
      <c r="J59" s="149"/>
      <c r="K59" s="149"/>
      <c r="L59" s="149"/>
      <c r="M59" s="149"/>
      <c r="N59" s="149"/>
      <c r="O59" s="149"/>
      <c r="P59" s="149"/>
      <c r="Q59" s="149"/>
      <c r="R59" s="149"/>
      <c r="S59" s="149"/>
      <c r="T59" s="149"/>
      <c r="U59" s="149"/>
      <c r="V59" s="149"/>
    </row>
    <row r="60" spans="1:22" ht="15" x14ac:dyDescent="0.25">
      <c r="A60" s="228" t="s">
        <v>184</v>
      </c>
      <c r="B60" s="149"/>
      <c r="C60" s="160"/>
      <c r="D60" s="230">
        <f>D58+D57</f>
        <v>0</v>
      </c>
      <c r="E60" s="160"/>
      <c r="F60" s="149"/>
      <c r="G60" s="149"/>
      <c r="H60" s="149"/>
      <c r="I60" s="149"/>
      <c r="J60" s="149"/>
      <c r="K60" s="149"/>
      <c r="L60" s="149"/>
      <c r="M60" s="149"/>
      <c r="N60" s="149"/>
      <c r="O60" s="149"/>
      <c r="P60" s="149"/>
      <c r="Q60" s="149"/>
      <c r="R60" s="149"/>
      <c r="S60" s="149"/>
      <c r="T60" s="149"/>
      <c r="U60" s="149"/>
      <c r="V60" s="149"/>
    </row>
    <row r="61" spans="1:22" ht="12" customHeight="1" x14ac:dyDescent="0.25">
      <c r="A61" s="228"/>
      <c r="B61" s="149"/>
      <c r="C61" s="160"/>
      <c r="D61" s="230"/>
      <c r="E61" s="160"/>
      <c r="F61" s="149"/>
      <c r="G61" s="149"/>
      <c r="H61" s="149"/>
      <c r="I61" s="149"/>
      <c r="J61" s="149"/>
      <c r="K61" s="149"/>
      <c r="L61" s="149"/>
      <c r="M61" s="149"/>
      <c r="N61" s="149"/>
      <c r="O61" s="149"/>
      <c r="P61" s="149"/>
      <c r="Q61" s="149"/>
      <c r="R61" s="149"/>
      <c r="S61" s="149"/>
      <c r="T61" s="149"/>
      <c r="U61" s="149"/>
      <c r="V61" s="149"/>
    </row>
    <row r="62" spans="1:22" ht="16.5" customHeight="1" x14ac:dyDescent="0.25">
      <c r="A62" s="255" t="s">
        <v>185</v>
      </c>
      <c r="B62" s="254"/>
      <c r="C62" s="253"/>
      <c r="D62" s="231">
        <f>D60*C62</f>
        <v>0</v>
      </c>
      <c r="E62" s="440">
        <v>960</v>
      </c>
      <c r="F62" s="547" t="s">
        <v>186</v>
      </c>
      <c r="G62" s="548"/>
      <c r="H62" s="548"/>
      <c r="I62" s="549"/>
      <c r="J62" s="259"/>
      <c r="K62" s="259"/>
      <c r="L62" s="259"/>
      <c r="M62" s="149"/>
      <c r="N62" s="149"/>
      <c r="O62" s="149"/>
      <c r="P62" s="149"/>
      <c r="Q62" s="149"/>
      <c r="R62" s="149"/>
      <c r="S62" s="149"/>
      <c r="T62" s="149"/>
      <c r="U62" s="149"/>
      <c r="V62" s="149"/>
    </row>
    <row r="63" spans="1:22" ht="17.25" customHeight="1" x14ac:dyDescent="0.2">
      <c r="A63" s="232" t="s">
        <v>187</v>
      </c>
      <c r="B63" s="240">
        <v>0.2</v>
      </c>
      <c r="C63" s="260">
        <f>D62*B63</f>
        <v>0</v>
      </c>
      <c r="D63" s="231"/>
      <c r="E63" s="160"/>
      <c r="F63" s="550"/>
      <c r="G63" s="551"/>
      <c r="H63" s="551"/>
      <c r="I63" s="552"/>
      <c r="J63" s="259"/>
      <c r="K63" s="259"/>
      <c r="L63" s="259"/>
      <c r="M63" s="149"/>
      <c r="N63" s="149"/>
      <c r="O63" s="149"/>
      <c r="P63" s="149"/>
      <c r="Q63" s="149"/>
      <c r="R63" s="149"/>
      <c r="S63" s="149"/>
      <c r="T63" s="149"/>
      <c r="U63" s="149"/>
      <c r="V63" s="149"/>
    </row>
    <row r="64" spans="1:22" ht="15.75" customHeight="1" x14ac:dyDescent="0.2">
      <c r="A64" s="255" t="s">
        <v>188</v>
      </c>
      <c r="B64" s="233"/>
      <c r="C64" s="234"/>
      <c r="D64" s="231">
        <f>C64</f>
        <v>0</v>
      </c>
      <c r="E64" s="160"/>
      <c r="F64" s="550"/>
      <c r="G64" s="551"/>
      <c r="H64" s="551"/>
      <c r="I64" s="552"/>
      <c r="J64" s="149"/>
      <c r="K64" s="149"/>
      <c r="L64" s="149"/>
      <c r="M64" s="149"/>
      <c r="N64" s="149"/>
      <c r="O64" s="149"/>
      <c r="P64" s="149"/>
      <c r="Q64" s="149"/>
      <c r="R64" s="149"/>
      <c r="S64" s="149"/>
      <c r="T64" s="149"/>
      <c r="U64" s="149"/>
      <c r="V64" s="149"/>
    </row>
    <row r="65" spans="1:22" ht="15.75" customHeight="1" x14ac:dyDescent="0.2">
      <c r="A65" s="232" t="s">
        <v>187</v>
      </c>
      <c r="B65" s="240">
        <v>0.2</v>
      </c>
      <c r="C65" s="260">
        <f>C64*B65</f>
        <v>0</v>
      </c>
      <c r="D65" s="231"/>
      <c r="E65" s="440">
        <v>955</v>
      </c>
      <c r="F65" s="553"/>
      <c r="G65" s="554"/>
      <c r="H65" s="554"/>
      <c r="I65" s="555"/>
      <c r="J65" s="149"/>
      <c r="K65" s="149"/>
      <c r="L65" s="149"/>
      <c r="M65" s="149"/>
      <c r="N65" s="149"/>
      <c r="O65" s="149"/>
      <c r="P65" s="149"/>
      <c r="Q65" s="149"/>
      <c r="R65" s="149"/>
      <c r="S65" s="149"/>
      <c r="T65" s="149"/>
      <c r="U65" s="149"/>
      <c r="V65" s="149"/>
    </row>
    <row r="66" spans="1:22" ht="14.25" x14ac:dyDescent="0.2">
      <c r="A66" s="152"/>
      <c r="B66" s="149"/>
      <c r="C66" s="158"/>
      <c r="D66" s="231"/>
      <c r="E66" s="160"/>
      <c r="F66" s="149"/>
      <c r="G66" s="149"/>
      <c r="H66" s="149"/>
      <c r="I66" s="149"/>
      <c r="J66" s="149"/>
      <c r="K66" s="149"/>
      <c r="L66" s="149"/>
      <c r="M66" s="149"/>
      <c r="N66" s="149"/>
      <c r="O66" s="149"/>
      <c r="P66" s="149"/>
      <c r="Q66" s="149"/>
      <c r="R66" s="149"/>
      <c r="S66" s="149"/>
      <c r="T66" s="149"/>
      <c r="U66" s="149"/>
      <c r="V66" s="149"/>
    </row>
    <row r="67" spans="1:22" ht="15" x14ac:dyDescent="0.25">
      <c r="A67" s="235" t="s">
        <v>189</v>
      </c>
      <c r="B67" s="149"/>
      <c r="C67" s="158"/>
      <c r="D67" s="231">
        <f>D62+D60+D64</f>
        <v>0</v>
      </c>
      <c r="E67" s="160"/>
      <c r="F67" s="149"/>
      <c r="G67" s="149"/>
      <c r="H67" s="149"/>
      <c r="I67" s="149"/>
      <c r="J67" s="149"/>
      <c r="K67" s="149"/>
      <c r="L67" s="149"/>
      <c r="M67" s="149"/>
      <c r="N67" s="149"/>
      <c r="O67" s="149"/>
      <c r="P67" s="149"/>
      <c r="Q67" s="149"/>
      <c r="R67" s="149"/>
      <c r="S67" s="149"/>
      <c r="T67" s="149"/>
      <c r="U67" s="149"/>
      <c r="V67" s="149"/>
    </row>
    <row r="68" spans="1:22" ht="15" x14ac:dyDescent="0.25">
      <c r="A68" s="235" t="s">
        <v>190</v>
      </c>
      <c r="B68" s="160" t="s">
        <v>191</v>
      </c>
      <c r="C68" s="291">
        <f>'Daten zum Auftrag'!B47</f>
        <v>0.2</v>
      </c>
      <c r="D68" s="231">
        <f>D67/75*(C68*100)</f>
        <v>0</v>
      </c>
      <c r="E68" s="440">
        <v>999</v>
      </c>
      <c r="F68" s="149"/>
      <c r="G68" s="149"/>
      <c r="H68" s="149"/>
      <c r="I68" s="149"/>
      <c r="J68" s="149"/>
      <c r="K68" s="149"/>
      <c r="L68" s="149"/>
      <c r="M68" s="149"/>
      <c r="N68" s="149"/>
      <c r="O68" s="149"/>
      <c r="P68" s="149"/>
      <c r="Q68" s="149"/>
      <c r="R68" s="149"/>
      <c r="S68" s="149"/>
      <c r="T68" s="149"/>
      <c r="U68" s="149"/>
      <c r="V68" s="149"/>
    </row>
    <row r="69" spans="1:22" ht="15" x14ac:dyDescent="0.25">
      <c r="A69" s="235" t="s">
        <v>192</v>
      </c>
      <c r="B69" s="149"/>
      <c r="C69" s="291">
        <f>IF(A73="Innenleistung Lehrstuhl/Einrichtung",0%,5%)</f>
        <v>0.05</v>
      </c>
      <c r="D69" s="231">
        <f>IF(C69=0,0,D67/75*5)</f>
        <v>0</v>
      </c>
      <c r="E69" s="440">
        <v>773</v>
      </c>
      <c r="F69" s="149"/>
      <c r="G69" s="149"/>
      <c r="H69" s="149"/>
      <c r="I69" s="149"/>
      <c r="J69" s="149"/>
      <c r="K69" s="149"/>
      <c r="L69" s="149"/>
      <c r="M69" s="149"/>
      <c r="N69" s="149"/>
      <c r="O69" s="149"/>
      <c r="P69" s="149"/>
      <c r="Q69" s="149"/>
      <c r="R69" s="149"/>
      <c r="S69" s="149"/>
      <c r="T69" s="149"/>
      <c r="U69" s="149"/>
      <c r="V69" s="149"/>
    </row>
    <row r="70" spans="1:22" ht="15" x14ac:dyDescent="0.25">
      <c r="A70" s="235"/>
      <c r="B70" s="149"/>
      <c r="C70" s="291"/>
      <c r="D70" s="231"/>
      <c r="E70" s="160"/>
      <c r="F70" s="149"/>
      <c r="G70" s="149"/>
      <c r="H70" s="149"/>
      <c r="I70" s="149"/>
      <c r="J70" s="149"/>
      <c r="K70" s="149"/>
      <c r="L70" s="149"/>
      <c r="M70" s="149"/>
      <c r="N70" s="149"/>
      <c r="O70" s="149"/>
      <c r="P70" s="149"/>
      <c r="Q70" s="149"/>
      <c r="R70" s="149"/>
      <c r="S70" s="149"/>
      <c r="T70" s="149"/>
      <c r="U70" s="149"/>
      <c r="V70" s="149"/>
    </row>
    <row r="71" spans="1:22" ht="15" x14ac:dyDescent="0.25">
      <c r="A71" s="235" t="s">
        <v>193</v>
      </c>
      <c r="B71" s="149"/>
      <c r="C71" s="149"/>
      <c r="D71" s="230">
        <f>D67+D68+D69</f>
        <v>0</v>
      </c>
      <c r="E71" s="160"/>
      <c r="F71" s="149"/>
      <c r="G71" s="149"/>
      <c r="H71" s="149"/>
      <c r="I71" s="149"/>
      <c r="J71" s="149"/>
      <c r="K71" s="149"/>
      <c r="L71" s="149"/>
      <c r="M71" s="149"/>
      <c r="N71" s="149"/>
      <c r="O71" s="149"/>
      <c r="P71" s="149"/>
      <c r="Q71" s="149"/>
      <c r="R71" s="149"/>
      <c r="S71" s="149"/>
      <c r="T71" s="149"/>
      <c r="U71" s="149"/>
      <c r="V71" s="149"/>
    </row>
    <row r="72" spans="1:22" ht="15" x14ac:dyDescent="0.25">
      <c r="A72" s="235"/>
      <c r="B72" s="149"/>
      <c r="C72" s="149"/>
      <c r="D72" s="230"/>
      <c r="E72" s="160"/>
      <c r="F72" s="149"/>
      <c r="G72" s="149"/>
      <c r="H72" s="149"/>
      <c r="I72" s="149"/>
      <c r="J72" s="149"/>
      <c r="K72" s="149"/>
      <c r="L72" s="149"/>
      <c r="M72" s="149"/>
      <c r="N72" s="149"/>
      <c r="O72" s="149"/>
      <c r="P72" s="149"/>
      <c r="Q72" s="149"/>
      <c r="R72" s="149"/>
      <c r="S72" s="149"/>
      <c r="T72" s="149"/>
      <c r="U72" s="149"/>
      <c r="V72" s="149"/>
    </row>
    <row r="73" spans="1:22" ht="14.25" x14ac:dyDescent="0.2">
      <c r="A73" s="150" t="str">
        <f>'Daten zum Auftrag'!E6</f>
        <v xml:space="preserve">Partner Inland (mit USt) 19% </v>
      </c>
      <c r="B73" s="256">
        <f>VLOOKUP(A73,$Y$4:$Z$13,2,FALSE)</f>
        <v>0.19</v>
      </c>
      <c r="C73" s="159">
        <f>B73</f>
        <v>0.19</v>
      </c>
      <c r="D73" s="231">
        <f>D71*C73</f>
        <v>0</v>
      </c>
      <c r="E73" s="160"/>
      <c r="F73" s="149"/>
      <c r="G73" s="149"/>
      <c r="H73" s="149"/>
      <c r="I73" s="149"/>
      <c r="J73" s="149"/>
      <c r="K73" s="149"/>
      <c r="L73" s="149"/>
      <c r="M73" s="149"/>
      <c r="N73" s="149"/>
      <c r="O73" s="149"/>
      <c r="P73" s="149"/>
      <c r="Q73" s="149"/>
      <c r="R73" s="149"/>
      <c r="S73" s="149"/>
      <c r="T73" s="149"/>
      <c r="U73" s="149"/>
      <c r="V73" s="149"/>
    </row>
    <row r="74" spans="1:22" ht="14.25" x14ac:dyDescent="0.2">
      <c r="A74" s="150"/>
      <c r="B74" s="256"/>
      <c r="C74" s="159"/>
      <c r="D74" s="231"/>
      <c r="E74" s="160"/>
      <c r="F74" s="149"/>
      <c r="G74" s="149"/>
      <c r="H74" s="149"/>
      <c r="I74" s="149"/>
      <c r="J74" s="149"/>
      <c r="K74" s="149"/>
      <c r="L74" s="149"/>
      <c r="M74" s="149"/>
      <c r="N74" s="149"/>
      <c r="O74" s="149"/>
      <c r="P74" s="149"/>
      <c r="Q74" s="149"/>
      <c r="R74" s="149"/>
      <c r="S74" s="149"/>
      <c r="T74" s="149"/>
      <c r="U74" s="149"/>
      <c r="V74" s="149"/>
    </row>
    <row r="75" spans="1:22" ht="20.25" customHeight="1" x14ac:dyDescent="0.4">
      <c r="A75" s="236" t="s">
        <v>194</v>
      </c>
      <c r="B75" s="162"/>
      <c r="C75" s="162"/>
      <c r="D75" s="237">
        <f>D71+D73</f>
        <v>0</v>
      </c>
      <c r="E75" s="160"/>
      <c r="F75" s="149"/>
      <c r="G75" s="149"/>
      <c r="H75" s="149"/>
      <c r="I75" s="149"/>
      <c r="J75" s="149"/>
      <c r="K75" s="149"/>
      <c r="L75" s="149"/>
      <c r="M75" s="149"/>
      <c r="N75" s="149"/>
      <c r="O75" s="149"/>
      <c r="P75" s="149"/>
      <c r="Q75" s="149"/>
      <c r="R75" s="149"/>
      <c r="S75" s="149"/>
      <c r="T75" s="149"/>
      <c r="U75" s="149"/>
      <c r="V75" s="149"/>
    </row>
    <row r="76" spans="1:22" ht="6.75" customHeight="1" x14ac:dyDescent="0.2">
      <c r="A76" s="165"/>
      <c r="B76" s="166"/>
      <c r="C76" s="166"/>
      <c r="D76" s="238"/>
      <c r="E76" s="160"/>
      <c r="F76" s="149"/>
      <c r="G76" s="149"/>
      <c r="H76" s="149"/>
      <c r="I76" s="149"/>
      <c r="J76" s="149"/>
      <c r="K76" s="149"/>
      <c r="L76" s="149"/>
      <c r="M76" s="149"/>
      <c r="N76" s="149"/>
      <c r="O76" s="149"/>
      <c r="P76" s="149"/>
      <c r="Q76" s="149"/>
      <c r="R76" s="149"/>
      <c r="S76" s="149"/>
      <c r="T76" s="149"/>
      <c r="U76" s="149"/>
      <c r="V76" s="149"/>
    </row>
    <row r="77" spans="1:22" x14ac:dyDescent="0.2">
      <c r="A77" s="149"/>
      <c r="B77" s="149"/>
      <c r="C77" s="149"/>
      <c r="D77" s="149"/>
      <c r="E77" s="160"/>
      <c r="F77" s="149"/>
      <c r="G77" s="149"/>
      <c r="H77" s="149"/>
      <c r="I77" s="149"/>
      <c r="J77" s="149"/>
      <c r="K77" s="149"/>
      <c r="L77" s="149"/>
      <c r="M77" s="149"/>
      <c r="N77" s="149"/>
      <c r="O77" s="149"/>
      <c r="P77" s="149"/>
      <c r="Q77" s="149"/>
      <c r="R77" s="149"/>
      <c r="S77" s="149"/>
      <c r="T77" s="149"/>
      <c r="U77" s="149"/>
      <c r="V77" s="149"/>
    </row>
    <row r="78" spans="1:22" x14ac:dyDescent="0.2">
      <c r="A78" s="149"/>
      <c r="B78" s="149"/>
      <c r="C78" s="149"/>
      <c r="D78" s="149"/>
      <c r="E78" s="160"/>
      <c r="F78" s="149"/>
      <c r="G78" s="149"/>
      <c r="H78" s="149"/>
      <c r="I78" s="149"/>
      <c r="J78" s="149"/>
      <c r="K78" s="149"/>
      <c r="L78" s="149"/>
      <c r="M78" s="149"/>
      <c r="N78" s="149"/>
      <c r="O78" s="149"/>
      <c r="P78" s="149"/>
      <c r="Q78" s="149"/>
      <c r="R78" s="149"/>
      <c r="S78" s="149"/>
      <c r="T78" s="149"/>
      <c r="U78" s="149"/>
      <c r="V78" s="149"/>
    </row>
    <row r="79" spans="1:22" x14ac:dyDescent="0.2">
      <c r="A79" s="149"/>
      <c r="B79" s="149"/>
      <c r="C79" s="149"/>
      <c r="D79" s="149"/>
      <c r="E79" s="160"/>
      <c r="F79" s="149"/>
      <c r="G79" s="149"/>
      <c r="H79" s="149"/>
      <c r="I79" s="149"/>
      <c r="J79" s="149"/>
      <c r="K79" s="149"/>
      <c r="L79" s="149"/>
      <c r="M79" s="149"/>
      <c r="N79" s="149"/>
      <c r="O79" s="149"/>
      <c r="P79" s="149"/>
      <c r="Q79" s="149"/>
      <c r="R79" s="149"/>
      <c r="S79" s="149"/>
      <c r="T79" s="149"/>
      <c r="U79" s="149"/>
      <c r="V79" s="149"/>
    </row>
    <row r="80" spans="1:22" x14ac:dyDescent="0.2">
      <c r="A80" s="149"/>
      <c r="B80" s="149"/>
      <c r="C80" s="149"/>
      <c r="D80" s="149"/>
      <c r="E80" s="160"/>
      <c r="F80" s="149"/>
      <c r="G80" s="149"/>
      <c r="H80" s="149"/>
      <c r="I80" s="149"/>
      <c r="J80" s="149"/>
      <c r="K80" s="149"/>
      <c r="L80" s="149"/>
      <c r="M80" s="149"/>
      <c r="N80" s="149"/>
      <c r="O80" s="149"/>
      <c r="P80" s="149"/>
      <c r="Q80" s="149"/>
      <c r="R80" s="149"/>
      <c r="S80" s="149"/>
      <c r="T80" s="149"/>
      <c r="U80" s="149"/>
      <c r="V80" s="149"/>
    </row>
    <row r="81" spans="1:22" x14ac:dyDescent="0.2">
      <c r="A81" s="149"/>
      <c r="B81" s="149"/>
      <c r="C81" s="149"/>
      <c r="D81" s="149"/>
      <c r="E81" s="160"/>
      <c r="F81" s="149"/>
      <c r="G81" s="149"/>
      <c r="H81" s="149"/>
      <c r="I81" s="149"/>
      <c r="J81" s="149"/>
      <c r="K81" s="149"/>
      <c r="L81" s="149"/>
      <c r="M81" s="149"/>
      <c r="N81" s="149"/>
      <c r="O81" s="149"/>
      <c r="P81" s="149"/>
      <c r="Q81" s="149"/>
      <c r="R81" s="149"/>
      <c r="S81" s="149"/>
      <c r="T81" s="149"/>
      <c r="U81" s="149"/>
      <c r="V81" s="149"/>
    </row>
    <row r="82" spans="1:22" x14ac:dyDescent="0.2">
      <c r="A82" s="149"/>
      <c r="B82" s="149"/>
      <c r="C82" s="149"/>
      <c r="D82" s="149"/>
      <c r="E82" s="160"/>
      <c r="F82" s="149"/>
      <c r="G82" s="149"/>
      <c r="H82" s="149"/>
      <c r="I82" s="149"/>
      <c r="J82" s="149"/>
      <c r="K82" s="149"/>
      <c r="L82" s="149"/>
      <c r="M82" s="149"/>
      <c r="N82" s="149"/>
      <c r="O82" s="149"/>
      <c r="P82" s="149"/>
      <c r="Q82" s="149"/>
      <c r="R82" s="149"/>
      <c r="S82" s="149"/>
      <c r="T82" s="149"/>
      <c r="U82" s="149"/>
      <c r="V82" s="149"/>
    </row>
    <row r="83" spans="1:22" x14ac:dyDescent="0.2">
      <c r="A83" s="161"/>
      <c r="B83" s="162"/>
      <c r="C83" s="162"/>
      <c r="D83" s="162"/>
      <c r="E83" s="441"/>
      <c r="F83" s="149"/>
      <c r="G83" s="149"/>
      <c r="H83" s="149"/>
      <c r="I83" s="149"/>
      <c r="J83" s="149"/>
      <c r="K83" s="149"/>
      <c r="L83" s="149"/>
      <c r="M83" s="149"/>
      <c r="N83" s="149"/>
      <c r="O83" s="149"/>
      <c r="P83" s="149"/>
      <c r="Q83" s="149"/>
      <c r="R83" s="149"/>
      <c r="S83" s="149"/>
      <c r="T83" s="149"/>
      <c r="U83" s="149"/>
      <c r="V83" s="149"/>
    </row>
    <row r="84" spans="1:22" x14ac:dyDescent="0.2">
      <c r="A84" s="163" t="s">
        <v>195</v>
      </c>
      <c r="B84" s="149"/>
      <c r="C84" s="149"/>
      <c r="D84" s="149"/>
      <c r="E84" s="442"/>
      <c r="F84" s="149"/>
      <c r="G84" s="149"/>
      <c r="H84" s="149"/>
      <c r="I84" s="149"/>
      <c r="J84" s="149"/>
      <c r="K84" s="149"/>
      <c r="L84" s="149"/>
      <c r="M84" s="149"/>
      <c r="N84" s="149"/>
      <c r="O84" s="149"/>
      <c r="P84" s="149"/>
      <c r="Q84" s="149"/>
      <c r="R84" s="149"/>
      <c r="S84" s="149"/>
      <c r="T84" s="149"/>
      <c r="U84" s="149"/>
      <c r="V84" s="149"/>
    </row>
    <row r="85" spans="1:22" x14ac:dyDescent="0.2">
      <c r="A85" s="164"/>
      <c r="B85" s="149"/>
      <c r="C85" s="149"/>
      <c r="D85" s="149"/>
      <c r="E85" s="442"/>
      <c r="F85" s="149"/>
      <c r="G85" s="149"/>
      <c r="H85" s="149"/>
      <c r="I85" s="149"/>
      <c r="J85" s="149"/>
      <c r="K85" s="149"/>
      <c r="L85" s="149"/>
      <c r="M85" s="149"/>
      <c r="N85" s="149"/>
      <c r="O85" s="149"/>
      <c r="P85" s="149"/>
      <c r="Q85" s="149"/>
      <c r="R85" s="149"/>
      <c r="S85" s="149"/>
      <c r="T85" s="149"/>
      <c r="U85" s="149"/>
      <c r="V85" s="149"/>
    </row>
    <row r="86" spans="1:22" ht="12.75" x14ac:dyDescent="0.2">
      <c r="A86" s="445" t="s">
        <v>196</v>
      </c>
      <c r="B86" s="420"/>
      <c r="C86" s="420"/>
      <c r="D86" s="420"/>
      <c r="E86" s="446"/>
      <c r="F86" s="149"/>
      <c r="G86" s="149"/>
      <c r="H86" s="149"/>
      <c r="I86" s="149"/>
      <c r="J86" s="149"/>
      <c r="K86" s="149"/>
      <c r="L86" s="149"/>
      <c r="M86" s="149"/>
      <c r="N86" s="149"/>
      <c r="O86" s="149"/>
      <c r="P86" s="149"/>
      <c r="Q86" s="149"/>
      <c r="R86" s="149"/>
      <c r="S86" s="149"/>
      <c r="T86" s="149"/>
      <c r="U86" s="149"/>
      <c r="V86" s="149"/>
    </row>
    <row r="87" spans="1:22" ht="12.75" x14ac:dyDescent="0.2">
      <c r="A87" s="445" t="s">
        <v>197</v>
      </c>
      <c r="B87" s="420"/>
      <c r="C87" s="420"/>
      <c r="D87" s="420"/>
      <c r="E87" s="446"/>
      <c r="F87" s="149"/>
      <c r="G87" s="149"/>
      <c r="H87" s="149"/>
      <c r="I87" s="149"/>
      <c r="J87" s="149"/>
      <c r="K87" s="149"/>
      <c r="L87" s="149"/>
      <c r="M87" s="149"/>
      <c r="N87" s="149"/>
      <c r="O87" s="149"/>
      <c r="P87" s="149"/>
      <c r="Q87" s="149"/>
      <c r="R87" s="149"/>
      <c r="S87" s="149"/>
      <c r="T87" s="149"/>
      <c r="U87" s="149"/>
      <c r="V87" s="149"/>
    </row>
    <row r="88" spans="1:22" ht="12.75" x14ac:dyDescent="0.2">
      <c r="A88" s="445" t="s">
        <v>198</v>
      </c>
      <c r="B88" s="420"/>
      <c r="C88" s="420"/>
      <c r="D88" s="420"/>
      <c r="E88" s="446"/>
      <c r="F88" s="149"/>
      <c r="G88" s="149"/>
      <c r="H88" s="149"/>
      <c r="I88" s="149"/>
      <c r="J88" s="149"/>
      <c r="K88" s="149"/>
      <c r="L88" s="149"/>
      <c r="M88" s="149"/>
      <c r="N88" s="149"/>
      <c r="O88" s="149"/>
      <c r="P88" s="149"/>
      <c r="Q88" s="149"/>
      <c r="R88" s="149"/>
      <c r="S88" s="149"/>
      <c r="T88" s="149"/>
      <c r="U88" s="149"/>
      <c r="V88" s="149"/>
    </row>
    <row r="89" spans="1:22" ht="12.75" x14ac:dyDescent="0.2">
      <c r="A89" s="445" t="s">
        <v>199</v>
      </c>
      <c r="B89" s="420"/>
      <c r="C89" s="420"/>
      <c r="D89" s="420"/>
      <c r="E89" s="446"/>
      <c r="F89" s="149"/>
      <c r="G89" s="149"/>
      <c r="H89" s="149"/>
      <c r="I89" s="149"/>
      <c r="J89" s="149"/>
      <c r="K89" s="149"/>
      <c r="L89" s="149"/>
      <c r="M89" s="149"/>
      <c r="N89" s="149"/>
      <c r="O89" s="149"/>
      <c r="P89" s="149"/>
      <c r="Q89" s="149"/>
      <c r="R89" s="149"/>
      <c r="S89" s="149"/>
      <c r="T89" s="149"/>
      <c r="U89" s="149"/>
      <c r="V89" s="149"/>
    </row>
    <row r="90" spans="1:22" ht="6.75" customHeight="1" x14ac:dyDescent="0.2">
      <c r="A90" s="445"/>
      <c r="B90" s="420"/>
      <c r="C90" s="420"/>
      <c r="D90" s="420"/>
      <c r="E90" s="446"/>
      <c r="F90" s="149"/>
      <c r="G90" s="149"/>
      <c r="H90" s="149"/>
      <c r="I90" s="149"/>
      <c r="J90" s="149"/>
      <c r="K90" s="149"/>
      <c r="L90" s="149"/>
      <c r="M90" s="149"/>
      <c r="N90" s="149"/>
      <c r="O90" s="149"/>
      <c r="P90" s="149"/>
      <c r="Q90" s="149"/>
      <c r="R90" s="149"/>
      <c r="S90" s="149"/>
      <c r="T90" s="149"/>
      <c r="U90" s="149"/>
      <c r="V90" s="149"/>
    </row>
    <row r="91" spans="1:22" ht="12.75" x14ac:dyDescent="0.2">
      <c r="A91" s="108" t="s">
        <v>200</v>
      </c>
      <c r="B91" s="420"/>
      <c r="C91" s="420"/>
      <c r="D91" s="420"/>
      <c r="E91" s="446"/>
      <c r="F91" s="149"/>
      <c r="G91" s="149"/>
      <c r="H91" s="149"/>
      <c r="I91" s="149"/>
      <c r="J91" s="149"/>
      <c r="K91" s="149"/>
      <c r="L91" s="149"/>
      <c r="M91" s="149"/>
      <c r="N91" s="149"/>
      <c r="O91" s="149"/>
      <c r="P91" s="149"/>
      <c r="Q91" s="149"/>
      <c r="R91" s="149"/>
      <c r="S91" s="149"/>
      <c r="T91" s="149"/>
      <c r="U91" s="149"/>
      <c r="V91" s="149"/>
    </row>
    <row r="92" spans="1:22" ht="12.75" x14ac:dyDescent="0.2">
      <c r="A92" s="445" t="s">
        <v>201</v>
      </c>
      <c r="B92" s="420"/>
      <c r="C92" s="420"/>
      <c r="D92" s="420"/>
      <c r="E92" s="446"/>
      <c r="F92" s="149"/>
      <c r="G92" s="149"/>
      <c r="H92" s="149"/>
      <c r="I92" s="149"/>
      <c r="J92" s="149"/>
      <c r="K92" s="149"/>
      <c r="L92" s="149"/>
      <c r="M92" s="149"/>
      <c r="N92" s="149"/>
      <c r="O92" s="149"/>
      <c r="P92" s="149"/>
      <c r="Q92" s="149"/>
      <c r="R92" s="149"/>
      <c r="S92" s="149"/>
      <c r="T92" s="149"/>
      <c r="U92" s="149"/>
      <c r="V92" s="149"/>
    </row>
    <row r="93" spans="1:22" ht="12.75" x14ac:dyDescent="0.2">
      <c r="A93" s="108" t="s">
        <v>202</v>
      </c>
      <c r="B93" s="420"/>
      <c r="C93" s="420"/>
      <c r="D93" s="420"/>
      <c r="E93" s="446"/>
      <c r="F93" s="149"/>
      <c r="G93" s="149"/>
      <c r="H93" s="149"/>
      <c r="I93" s="149"/>
      <c r="J93" s="149"/>
      <c r="K93" s="149"/>
      <c r="L93" s="149"/>
      <c r="M93" s="149"/>
      <c r="N93" s="149"/>
      <c r="O93" s="149"/>
      <c r="P93" s="149"/>
      <c r="Q93" s="149"/>
      <c r="R93" s="149"/>
      <c r="S93" s="149"/>
      <c r="T93" s="149"/>
      <c r="U93" s="149"/>
      <c r="V93" s="149"/>
    </row>
    <row r="94" spans="1:22" x14ac:dyDescent="0.2">
      <c r="A94" s="164" t="s">
        <v>203</v>
      </c>
      <c r="B94" s="149"/>
      <c r="C94" s="149"/>
      <c r="D94" s="149"/>
      <c r="E94" s="442"/>
      <c r="F94" s="149"/>
      <c r="G94" s="149"/>
      <c r="H94" s="149"/>
      <c r="I94" s="149"/>
      <c r="J94" s="149"/>
      <c r="K94" s="149"/>
      <c r="L94" s="149"/>
      <c r="M94" s="149"/>
      <c r="N94" s="149"/>
      <c r="O94" s="149"/>
      <c r="P94" s="149"/>
      <c r="Q94" s="149"/>
      <c r="R94" s="149"/>
      <c r="S94" s="149"/>
      <c r="T94" s="149"/>
      <c r="U94" s="149"/>
      <c r="V94" s="149"/>
    </row>
    <row r="95" spans="1:22" ht="7.5" customHeight="1" x14ac:dyDescent="0.2">
      <c r="A95" s="164"/>
      <c r="B95" s="149"/>
      <c r="C95" s="149"/>
      <c r="D95" s="149"/>
      <c r="E95" s="442"/>
      <c r="F95" s="149"/>
      <c r="G95" s="149"/>
      <c r="H95" s="149"/>
      <c r="I95" s="149"/>
      <c r="J95" s="149"/>
      <c r="K95" s="149"/>
      <c r="L95" s="149"/>
      <c r="M95" s="149"/>
      <c r="N95" s="149"/>
      <c r="O95" s="149"/>
      <c r="P95" s="149"/>
      <c r="Q95" s="149"/>
      <c r="R95" s="149"/>
      <c r="S95" s="149"/>
      <c r="T95" s="149"/>
      <c r="U95" s="149"/>
      <c r="V95" s="149"/>
    </row>
    <row r="96" spans="1:22" ht="12.75" x14ac:dyDescent="0.2">
      <c r="A96" s="445" t="s">
        <v>204</v>
      </c>
      <c r="B96" s="149"/>
      <c r="C96" s="149"/>
      <c r="D96" s="149"/>
      <c r="E96" s="442"/>
      <c r="F96" s="149"/>
      <c r="G96" s="149"/>
      <c r="H96" s="149"/>
      <c r="I96" s="149"/>
      <c r="J96" s="149"/>
      <c r="K96" s="149"/>
      <c r="L96" s="149"/>
      <c r="M96" s="149"/>
      <c r="N96" s="149"/>
      <c r="O96" s="149"/>
      <c r="P96" s="149"/>
      <c r="Q96" s="149"/>
      <c r="R96" s="149"/>
      <c r="S96" s="149"/>
      <c r="T96" s="149"/>
      <c r="U96" s="149"/>
      <c r="V96" s="149"/>
    </row>
    <row r="97" spans="1:22" ht="12.75" x14ac:dyDescent="0.2">
      <c r="A97" s="445" t="s">
        <v>205</v>
      </c>
      <c r="B97" s="149"/>
      <c r="C97" s="149"/>
      <c r="D97" s="149"/>
      <c r="E97" s="442"/>
      <c r="F97" s="149"/>
      <c r="G97" s="149"/>
      <c r="H97" s="149"/>
      <c r="I97" s="149"/>
      <c r="J97" s="149"/>
      <c r="K97" s="149"/>
      <c r="L97" s="149"/>
      <c r="M97" s="149"/>
      <c r="N97" s="149"/>
      <c r="O97" s="149"/>
      <c r="P97" s="149"/>
      <c r="Q97" s="149"/>
      <c r="R97" s="149"/>
      <c r="S97" s="149"/>
      <c r="T97" s="149"/>
      <c r="U97" s="149"/>
      <c r="V97" s="149"/>
    </row>
    <row r="98" spans="1:22" ht="6" customHeight="1" x14ac:dyDescent="0.2">
      <c r="A98" s="164"/>
      <c r="B98" s="149"/>
      <c r="C98" s="149"/>
      <c r="D98" s="149"/>
      <c r="E98" s="442"/>
      <c r="F98" s="149"/>
      <c r="G98" s="149"/>
      <c r="H98" s="149"/>
      <c r="I98" s="149"/>
      <c r="J98" s="149"/>
      <c r="K98" s="149"/>
      <c r="L98" s="149"/>
      <c r="M98" s="149"/>
      <c r="N98" s="149"/>
      <c r="O98" s="149"/>
      <c r="P98" s="149"/>
      <c r="Q98" s="149"/>
      <c r="R98" s="149"/>
      <c r="S98" s="149"/>
      <c r="T98" s="149"/>
      <c r="U98" s="149"/>
      <c r="V98" s="149"/>
    </row>
    <row r="99" spans="1:22" ht="12.75" x14ac:dyDescent="0.2">
      <c r="A99" s="445" t="s">
        <v>206</v>
      </c>
      <c r="B99" s="420"/>
      <c r="C99" s="420"/>
      <c r="D99" s="420"/>
      <c r="E99" s="446"/>
      <c r="F99" s="149"/>
      <c r="G99" s="149"/>
      <c r="H99" s="149"/>
      <c r="I99" s="149"/>
      <c r="J99" s="149"/>
      <c r="K99" s="149"/>
      <c r="L99" s="149"/>
      <c r="M99" s="149"/>
      <c r="N99" s="149"/>
      <c r="O99" s="149"/>
      <c r="P99" s="149"/>
      <c r="Q99" s="149"/>
      <c r="R99" s="149"/>
      <c r="S99" s="149"/>
      <c r="T99" s="149"/>
      <c r="U99" s="149"/>
      <c r="V99" s="149"/>
    </row>
    <row r="100" spans="1:22" ht="12.75" x14ac:dyDescent="0.2">
      <c r="A100" s="445" t="s">
        <v>207</v>
      </c>
      <c r="B100" s="420"/>
      <c r="C100" s="420"/>
      <c r="D100" s="420"/>
      <c r="E100" s="446"/>
      <c r="F100" s="149"/>
      <c r="G100" s="149"/>
      <c r="H100" s="149"/>
      <c r="I100" s="149"/>
      <c r="J100" s="149"/>
      <c r="K100" s="149"/>
      <c r="L100" s="149"/>
      <c r="M100" s="149"/>
      <c r="N100" s="149"/>
      <c r="O100" s="149"/>
      <c r="P100" s="149"/>
      <c r="Q100" s="149"/>
      <c r="R100" s="149"/>
      <c r="S100" s="149"/>
      <c r="T100" s="149"/>
      <c r="U100" s="149"/>
      <c r="V100" s="149"/>
    </row>
    <row r="101" spans="1:22" ht="12.75" x14ac:dyDescent="0.2">
      <c r="A101" s="445" t="s">
        <v>208</v>
      </c>
      <c r="B101" s="420"/>
      <c r="C101" s="420"/>
      <c r="D101" s="420"/>
      <c r="E101" s="446"/>
      <c r="F101" s="149"/>
      <c r="G101" s="149"/>
      <c r="H101" s="149"/>
      <c r="I101" s="149"/>
      <c r="J101" s="149"/>
      <c r="K101" s="149"/>
      <c r="L101" s="149"/>
      <c r="M101" s="149"/>
      <c r="N101" s="149"/>
      <c r="O101" s="149"/>
      <c r="P101" s="149"/>
      <c r="Q101" s="149"/>
      <c r="R101" s="149"/>
      <c r="S101" s="149"/>
      <c r="T101" s="149"/>
      <c r="U101" s="149"/>
      <c r="V101" s="149"/>
    </row>
    <row r="102" spans="1:22" x14ac:dyDescent="0.2">
      <c r="A102" s="164"/>
      <c r="B102" s="149"/>
      <c r="C102" s="149"/>
      <c r="D102" s="149"/>
      <c r="E102" s="442"/>
      <c r="F102" s="149"/>
      <c r="G102" s="149"/>
      <c r="H102" s="149"/>
      <c r="I102" s="149"/>
      <c r="J102" s="149"/>
      <c r="K102" s="149"/>
      <c r="L102" s="149"/>
      <c r="M102" s="149"/>
      <c r="N102" s="149"/>
      <c r="O102" s="149"/>
      <c r="P102" s="149"/>
      <c r="Q102" s="149"/>
      <c r="R102" s="149"/>
      <c r="S102" s="149"/>
      <c r="T102" s="149"/>
      <c r="U102" s="149"/>
      <c r="V102" s="149"/>
    </row>
    <row r="103" spans="1:22" ht="12.75" customHeight="1" x14ac:dyDescent="0.2">
      <c r="A103" s="164"/>
      <c r="B103" s="149"/>
      <c r="C103" s="149"/>
      <c r="D103" s="149"/>
      <c r="E103" s="442"/>
      <c r="F103" s="149"/>
      <c r="G103" s="149"/>
      <c r="H103" s="149"/>
      <c r="I103" s="149"/>
      <c r="J103" s="149"/>
      <c r="K103" s="149"/>
      <c r="L103" s="149"/>
      <c r="M103" s="149"/>
      <c r="N103" s="149"/>
      <c r="O103" s="149"/>
      <c r="P103" s="149"/>
      <c r="Q103" s="149"/>
      <c r="R103" s="149"/>
      <c r="S103" s="149"/>
      <c r="T103" s="149"/>
      <c r="U103" s="149"/>
      <c r="V103" s="149"/>
    </row>
    <row r="104" spans="1:22" x14ac:dyDescent="0.2">
      <c r="A104" s="164" t="s">
        <v>209</v>
      </c>
      <c r="B104" s="149"/>
      <c r="C104" s="149" t="s">
        <v>210</v>
      </c>
      <c r="D104" s="149"/>
      <c r="E104" s="442"/>
      <c r="F104" s="149"/>
      <c r="G104" s="149"/>
      <c r="H104" s="149"/>
      <c r="I104" s="149"/>
      <c r="J104" s="149"/>
      <c r="K104" s="149"/>
      <c r="L104" s="149"/>
      <c r="M104" s="149"/>
      <c r="N104" s="149"/>
      <c r="O104" s="149"/>
      <c r="P104" s="149"/>
      <c r="Q104" s="149"/>
      <c r="R104" s="149"/>
      <c r="S104" s="149"/>
      <c r="T104" s="149"/>
      <c r="U104" s="149"/>
      <c r="V104" s="149"/>
    </row>
    <row r="105" spans="1:22" ht="12.75" customHeight="1" x14ac:dyDescent="0.2">
      <c r="A105" s="163" t="s">
        <v>211</v>
      </c>
      <c r="B105" s="149"/>
      <c r="C105" s="150" t="s">
        <v>212</v>
      </c>
      <c r="D105" s="149"/>
      <c r="E105" s="442"/>
      <c r="F105" s="149"/>
      <c r="G105" s="149"/>
      <c r="H105" s="149"/>
      <c r="I105" s="149"/>
      <c r="J105" s="149"/>
      <c r="K105" s="149"/>
      <c r="L105" s="149"/>
      <c r="M105" s="149"/>
      <c r="N105" s="149"/>
      <c r="O105" s="149"/>
      <c r="P105" s="149"/>
      <c r="Q105" s="149"/>
      <c r="R105" s="149"/>
      <c r="S105" s="149"/>
      <c r="T105" s="149"/>
      <c r="U105" s="149"/>
      <c r="V105" s="149"/>
    </row>
    <row r="106" spans="1:22" x14ac:dyDescent="0.2">
      <c r="A106" s="164"/>
      <c r="B106" s="149"/>
      <c r="C106" s="149" t="s">
        <v>213</v>
      </c>
      <c r="D106" s="149"/>
      <c r="E106" s="442"/>
      <c r="F106" s="149"/>
      <c r="G106" s="149"/>
      <c r="H106" s="149"/>
      <c r="I106" s="149"/>
      <c r="J106" s="149"/>
      <c r="K106" s="149"/>
      <c r="L106" s="149"/>
      <c r="M106" s="149"/>
      <c r="N106" s="149"/>
      <c r="O106" s="149"/>
      <c r="P106" s="149"/>
      <c r="Q106" s="149"/>
      <c r="R106" s="149"/>
      <c r="S106" s="149"/>
      <c r="T106" s="149"/>
      <c r="U106" s="149"/>
      <c r="V106" s="149"/>
    </row>
    <row r="107" spans="1:22" x14ac:dyDescent="0.2">
      <c r="A107" s="165"/>
      <c r="B107" s="166"/>
      <c r="C107" s="166"/>
      <c r="D107" s="166"/>
      <c r="E107" s="443"/>
      <c r="F107" s="149"/>
      <c r="G107" s="149"/>
      <c r="H107" s="149"/>
      <c r="I107" s="149"/>
      <c r="J107" s="149"/>
      <c r="K107" s="149"/>
      <c r="L107" s="149"/>
      <c r="M107" s="149"/>
      <c r="N107" s="149"/>
      <c r="O107" s="149"/>
      <c r="P107" s="149"/>
      <c r="Q107" s="149"/>
      <c r="R107" s="149"/>
      <c r="S107" s="149"/>
      <c r="T107" s="149"/>
      <c r="U107" s="149"/>
      <c r="V107" s="149"/>
    </row>
    <row r="108" spans="1:22" x14ac:dyDescent="0.2">
      <c r="A108" s="149"/>
      <c r="B108" s="149"/>
      <c r="C108" s="149"/>
      <c r="D108" s="149"/>
      <c r="E108" s="160"/>
      <c r="F108" s="149"/>
      <c r="G108" s="149"/>
      <c r="H108" s="149"/>
      <c r="I108" s="149"/>
      <c r="J108" s="149"/>
      <c r="K108" s="149"/>
      <c r="L108" s="149"/>
      <c r="M108" s="149"/>
      <c r="N108" s="149"/>
      <c r="O108" s="149"/>
      <c r="P108" s="149"/>
      <c r="Q108" s="149"/>
      <c r="R108" s="149"/>
      <c r="S108" s="149"/>
      <c r="T108" s="149"/>
      <c r="U108" s="149"/>
      <c r="V108" s="149"/>
    </row>
    <row r="109" spans="1:22" x14ac:dyDescent="0.2">
      <c r="A109" s="149"/>
      <c r="B109" s="149"/>
      <c r="C109" s="149"/>
      <c r="D109" s="149"/>
      <c r="E109" s="160"/>
      <c r="F109" s="149"/>
      <c r="G109" s="149"/>
      <c r="H109" s="149"/>
      <c r="I109" s="149"/>
      <c r="J109" s="149"/>
      <c r="K109" s="149"/>
      <c r="L109" s="149"/>
      <c r="M109" s="149"/>
      <c r="N109" s="149"/>
      <c r="O109" s="149"/>
      <c r="P109" s="149"/>
      <c r="Q109" s="149"/>
      <c r="R109" s="149"/>
      <c r="S109" s="149"/>
      <c r="T109" s="149"/>
      <c r="U109" s="149"/>
      <c r="V109" s="149"/>
    </row>
    <row r="110" spans="1:22" x14ac:dyDescent="0.2">
      <c r="A110" s="149"/>
      <c r="B110" s="149"/>
      <c r="C110" s="149"/>
      <c r="D110" s="149"/>
      <c r="E110" s="160"/>
      <c r="F110" s="149"/>
      <c r="G110" s="149"/>
      <c r="H110" s="149"/>
      <c r="I110" s="149"/>
      <c r="J110" s="149"/>
      <c r="K110" s="149"/>
      <c r="L110" s="149"/>
      <c r="M110" s="149"/>
      <c r="N110" s="149"/>
      <c r="O110" s="149"/>
      <c r="P110" s="149"/>
      <c r="Q110" s="149"/>
      <c r="R110" s="149"/>
      <c r="S110" s="149"/>
      <c r="T110" s="149"/>
      <c r="U110" s="149"/>
      <c r="V110" s="149"/>
    </row>
    <row r="111" spans="1:22" x14ac:dyDescent="0.2">
      <c r="A111" s="149"/>
      <c r="B111" s="149"/>
      <c r="C111" s="149"/>
      <c r="D111" s="149"/>
      <c r="E111" s="160"/>
      <c r="F111" s="149"/>
      <c r="G111" s="149"/>
      <c r="H111" s="149"/>
      <c r="I111" s="149"/>
      <c r="J111" s="149"/>
      <c r="K111" s="149"/>
      <c r="L111" s="149"/>
      <c r="M111" s="149"/>
      <c r="N111" s="149"/>
      <c r="O111" s="149"/>
      <c r="P111" s="149"/>
      <c r="Q111" s="149"/>
      <c r="R111" s="149"/>
      <c r="S111" s="149"/>
      <c r="T111" s="149"/>
      <c r="U111" s="149"/>
      <c r="V111" s="149"/>
    </row>
    <row r="112" spans="1:22" x14ac:dyDescent="0.2">
      <c r="A112" s="149"/>
      <c r="B112" s="149"/>
      <c r="C112" s="149"/>
      <c r="D112" s="149"/>
      <c r="E112" s="160"/>
      <c r="F112" s="149"/>
      <c r="G112" s="149"/>
      <c r="H112" s="149"/>
      <c r="I112" s="149"/>
      <c r="J112" s="149"/>
      <c r="K112" s="149"/>
      <c r="L112" s="149"/>
      <c r="M112" s="149"/>
      <c r="N112" s="149"/>
      <c r="O112" s="149"/>
      <c r="P112" s="149"/>
      <c r="Q112" s="149"/>
      <c r="R112" s="149"/>
      <c r="S112" s="149"/>
      <c r="T112" s="149"/>
      <c r="U112" s="149"/>
      <c r="V112" s="149"/>
    </row>
    <row r="113" spans="1:22" x14ac:dyDescent="0.2">
      <c r="A113" s="149"/>
      <c r="B113" s="149"/>
      <c r="C113" s="149"/>
      <c r="D113" s="149"/>
      <c r="E113" s="160"/>
      <c r="F113" s="149"/>
      <c r="G113" s="149"/>
      <c r="H113" s="149"/>
      <c r="I113" s="149"/>
      <c r="J113" s="149"/>
      <c r="K113" s="149"/>
      <c r="L113" s="149"/>
      <c r="M113" s="149"/>
      <c r="N113" s="149"/>
      <c r="O113" s="149"/>
      <c r="P113" s="149"/>
      <c r="Q113" s="149"/>
      <c r="R113" s="149"/>
      <c r="S113" s="149"/>
      <c r="T113" s="149"/>
      <c r="U113" s="149"/>
      <c r="V113" s="149"/>
    </row>
    <row r="114" spans="1:22" x14ac:dyDescent="0.2">
      <c r="A114" s="149"/>
      <c r="B114" s="149"/>
      <c r="C114" s="149"/>
      <c r="D114" s="149"/>
      <c r="E114" s="160"/>
      <c r="F114" s="149"/>
      <c r="G114" s="149"/>
      <c r="H114" s="149"/>
      <c r="I114" s="149"/>
      <c r="J114" s="149"/>
      <c r="K114" s="149"/>
      <c r="L114" s="149"/>
      <c r="M114" s="149"/>
      <c r="N114" s="149"/>
      <c r="O114" s="149"/>
      <c r="P114" s="149"/>
      <c r="Q114" s="149"/>
      <c r="R114" s="149"/>
      <c r="S114" s="149"/>
      <c r="T114" s="149"/>
      <c r="U114" s="149"/>
      <c r="V114" s="149"/>
    </row>
    <row r="115" spans="1:22" x14ac:dyDescent="0.2">
      <c r="A115" s="149"/>
      <c r="B115" s="149"/>
      <c r="C115" s="149"/>
      <c r="D115" s="149"/>
      <c r="E115" s="160"/>
      <c r="F115" s="149"/>
      <c r="G115" s="149"/>
      <c r="H115" s="149"/>
      <c r="I115" s="149"/>
      <c r="J115" s="149"/>
      <c r="K115" s="149"/>
      <c r="L115" s="149"/>
      <c r="M115" s="149"/>
      <c r="N115" s="149"/>
      <c r="O115" s="149"/>
      <c r="P115" s="149"/>
      <c r="Q115" s="149"/>
      <c r="R115" s="149"/>
      <c r="S115" s="149"/>
      <c r="T115" s="149"/>
      <c r="U115" s="149"/>
      <c r="V115" s="149"/>
    </row>
    <row r="116" spans="1:22" x14ac:dyDescent="0.2">
      <c r="A116" s="149"/>
      <c r="B116" s="149"/>
      <c r="C116" s="149"/>
      <c r="D116" s="149"/>
      <c r="E116" s="160"/>
      <c r="F116" s="149"/>
      <c r="G116" s="149"/>
      <c r="H116" s="149"/>
      <c r="I116" s="149"/>
      <c r="J116" s="149"/>
      <c r="K116" s="149"/>
      <c r="L116" s="149"/>
      <c r="M116" s="149"/>
      <c r="N116" s="149"/>
      <c r="O116" s="149"/>
      <c r="P116" s="149"/>
      <c r="Q116" s="149"/>
      <c r="R116" s="149"/>
      <c r="S116" s="149"/>
      <c r="T116" s="149"/>
      <c r="U116" s="149"/>
      <c r="V116" s="149"/>
    </row>
    <row r="117" spans="1:22" x14ac:dyDescent="0.2">
      <c r="A117" s="149"/>
      <c r="B117" s="149"/>
      <c r="C117" s="149"/>
      <c r="D117" s="149"/>
      <c r="E117" s="160"/>
      <c r="F117" s="149"/>
      <c r="G117" s="149"/>
      <c r="H117" s="149"/>
      <c r="I117" s="149"/>
      <c r="J117" s="149"/>
      <c r="K117" s="149"/>
      <c r="L117" s="149"/>
      <c r="M117" s="149"/>
      <c r="N117" s="149"/>
      <c r="O117" s="149"/>
      <c r="P117" s="149"/>
      <c r="Q117" s="149"/>
      <c r="R117" s="149"/>
      <c r="S117" s="149"/>
      <c r="T117" s="149"/>
      <c r="U117" s="149"/>
      <c r="V117" s="149"/>
    </row>
    <row r="118" spans="1:22" x14ac:dyDescent="0.2">
      <c r="A118" s="149"/>
      <c r="B118" s="149"/>
      <c r="C118" s="149"/>
      <c r="D118" s="149"/>
      <c r="E118" s="160"/>
      <c r="F118" s="149"/>
      <c r="G118" s="149"/>
      <c r="H118" s="149"/>
      <c r="I118" s="149"/>
      <c r="J118" s="149"/>
      <c r="K118" s="149"/>
      <c r="L118" s="149"/>
      <c r="M118" s="149"/>
      <c r="N118" s="149"/>
      <c r="O118" s="149"/>
      <c r="P118" s="149"/>
      <c r="Q118" s="149"/>
      <c r="R118" s="149"/>
      <c r="S118" s="149"/>
      <c r="T118" s="149"/>
      <c r="U118" s="149"/>
      <c r="V118" s="149"/>
    </row>
    <row r="119" spans="1:22" x14ac:dyDescent="0.2">
      <c r="R119" s="149"/>
    </row>
    <row r="120" spans="1:22" x14ac:dyDescent="0.2">
      <c r="R120" s="149"/>
    </row>
    <row r="121" spans="1:22" x14ac:dyDescent="0.2">
      <c r="R121" s="149"/>
    </row>
  </sheetData>
  <sheetProtection algorithmName="SHA-512" hashValue="xfky5R9jLOPZ9QCAgxWyIJHheLGJD8g5FmmDpLu9F0onvblHd9WNYA0hWGyZRvUYLLoC4qYEteN4TEplY1d9Tw==" saltValue="ze8TpvCqb1o+8ruYhNsS8g==" spinCount="100000" sheet="1" objects="1" scenarios="1"/>
  <protectedRanges>
    <protectedRange sqref="B4:E7 A23:A28 A32:A38 A47:A48 A42:A43" name="Bereich2"/>
    <protectedRange sqref="A17:A19 A10:A13" name="Bereich1"/>
  </protectedRanges>
  <mergeCells count="8">
    <mergeCell ref="F56:I59"/>
    <mergeCell ref="F62:I65"/>
    <mergeCell ref="B4:D4"/>
    <mergeCell ref="B5:D5"/>
    <mergeCell ref="B6:D6"/>
    <mergeCell ref="B7:D7"/>
    <mergeCell ref="A58:B58"/>
    <mergeCell ref="C56:C57"/>
  </mergeCells>
  <dataValidations count="8">
    <dataValidation errorStyle="information" allowBlank="1" showInputMessage="1" showErrorMessage="1" errorTitle="Bitte GEWINN eintragen !" error="Bitte GEWINN eintragen !" promptTitle="Hinweis" prompt="Bitte GEWINN (Zeile 70) eintragen !" sqref="A3" xr:uid="{00000000-0002-0000-0200-000000000000}"/>
    <dataValidation type="list" allowBlank="1" showInputMessage="1" showErrorMessage="1" sqref="K29" xr:uid="{00000000-0002-0000-0200-000001000000}">
      <formula1>$A$1:$A$20</formula1>
    </dataValidation>
    <dataValidation operator="greaterThan" allowBlank="1" showInputMessage="1" showErrorMessage="1" sqref="D75" xr:uid="{00000000-0002-0000-0200-000002000000}"/>
    <dataValidation type="decimal" showInputMessage="1" showErrorMessage="1" error="Bitte Wert eingeben!" prompt="Bitte Wert eingeben!" sqref="C62:C63" xr:uid="{00000000-0002-0000-0200-000003000000}">
      <formula1>0</formula1>
      <formula2>999</formula2>
    </dataValidation>
    <dataValidation type="list" errorStyle="information" allowBlank="1" showInputMessage="1" showErrorMessage="1" errorTitle="Ungültige Eingabe" error="Besoldungsgruppe existiert nicht !_x000a_Bitte neu auswählen." sqref="A17" xr:uid="{00000000-0002-0000-0200-000004000000}">
      <formula1>$R$2:$R$49</formula1>
    </dataValidation>
    <dataValidation type="list" allowBlank="1" showInputMessage="1" showErrorMessage="1" sqref="O22" xr:uid="{00000000-0002-0000-0200-000005000000}">
      <formula1>$R$2:$R$49</formula1>
    </dataValidation>
    <dataValidation type="list" allowBlank="1" showInputMessage="1" showErrorMessage="1" sqref="A10:A13" xr:uid="{00000000-0002-0000-0200-000006000000}">
      <formula1>$R$1:$R$49</formula1>
    </dataValidation>
    <dataValidation type="list" errorStyle="information" allowBlank="1" showInputMessage="1" showErrorMessage="1" errorTitle="Ungültige Eingabe" error="Besoldungsgruppe existiert nicht !_x000a_Bitte neu auswählen." sqref="A18:A19" xr:uid="{00000000-0002-0000-0200-000007000000}">
      <formula1>$R$1:$R$49</formula1>
    </dataValidation>
  </dataValidations>
  <pageMargins left="0.39370078740157483" right="0.39370078740157483" top="0.78740157480314965" bottom="0.39370078740157483" header="0.51181102362204722" footer="0.11811023622047245"/>
  <pageSetup paperSize="9" fitToHeight="0" orientation="portrait" r:id="rId1"/>
  <headerFooter alignWithMargins="0">
    <oddFooter>&amp;C&amp;"Arial,Fett"Stand: April 2025</oddFooter>
  </headerFooter>
  <rowBreaks count="1" manualBreakCount="1">
    <brk id="51" max="4"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2"/>
  <dimension ref="A1:F59"/>
  <sheetViews>
    <sheetView zoomScaleNormal="100" workbookViewId="0">
      <selection activeCell="C13" sqref="C13"/>
    </sheetView>
  </sheetViews>
  <sheetFormatPr baseColWidth="10" defaultColWidth="11.42578125" defaultRowHeight="12.75" x14ac:dyDescent="0.2"/>
  <cols>
    <col min="1" max="1" width="13.5703125" customWidth="1"/>
    <col min="2" max="2" width="20.28515625" bestFit="1" customWidth="1"/>
    <col min="3" max="3" width="12.7109375" customWidth="1"/>
    <col min="4" max="4" width="17.28515625" customWidth="1"/>
    <col min="5" max="5" width="28.7109375" customWidth="1"/>
    <col min="6" max="6" width="32.7109375" customWidth="1"/>
  </cols>
  <sheetData>
    <row r="1" spans="1:6" ht="29.25" customHeight="1" x14ac:dyDescent="0.2">
      <c r="A1" s="562" t="s">
        <v>214</v>
      </c>
      <c r="B1" s="563"/>
      <c r="C1" s="563"/>
      <c r="D1" s="563"/>
      <c r="E1" s="563"/>
      <c r="F1" s="563"/>
    </row>
    <row r="2" spans="1:6" ht="30" customHeight="1" x14ac:dyDescent="0.25">
      <c r="A2" s="575" t="s">
        <v>215</v>
      </c>
      <c r="B2" s="576"/>
      <c r="C2" s="576"/>
      <c r="D2" s="576"/>
      <c r="E2" s="576"/>
      <c r="F2" s="577"/>
    </row>
    <row r="3" spans="1:6" ht="13.5" thickBot="1" x14ac:dyDescent="0.25">
      <c r="A3" s="564" t="s">
        <v>216</v>
      </c>
      <c r="B3" s="565"/>
      <c r="C3" s="565"/>
      <c r="D3" s="565"/>
      <c r="E3" s="565"/>
      <c r="F3" s="565"/>
    </row>
    <row r="4" spans="1:6" ht="16.5" customHeight="1" thickBot="1" x14ac:dyDescent="0.3">
      <c r="A4" s="566" t="s">
        <v>217</v>
      </c>
      <c r="B4" s="567"/>
      <c r="C4" s="568" t="s">
        <v>218</v>
      </c>
      <c r="D4" s="567"/>
      <c r="E4" s="578" t="s">
        <v>219</v>
      </c>
      <c r="F4" s="579"/>
    </row>
    <row r="5" spans="1:6" ht="12.75" customHeight="1" x14ac:dyDescent="0.2">
      <c r="A5" s="569" t="s">
        <v>220</v>
      </c>
      <c r="B5" s="569" t="s">
        <v>221</v>
      </c>
      <c r="C5" s="572" t="s">
        <v>222</v>
      </c>
      <c r="D5" s="572" t="s">
        <v>223</v>
      </c>
      <c r="E5" s="580" t="s">
        <v>224</v>
      </c>
      <c r="F5" s="580" t="s">
        <v>225</v>
      </c>
    </row>
    <row r="6" spans="1:6" x14ac:dyDescent="0.2">
      <c r="A6" s="570"/>
      <c r="B6" s="570"/>
      <c r="C6" s="573"/>
      <c r="D6" s="573"/>
      <c r="E6" s="581"/>
      <c r="F6" s="581"/>
    </row>
    <row r="7" spans="1:6" ht="48" customHeight="1" thickBot="1" x14ac:dyDescent="0.25">
      <c r="A7" s="571"/>
      <c r="B7" s="571"/>
      <c r="C7" s="574"/>
      <c r="D7" s="574"/>
      <c r="E7" s="582"/>
      <c r="F7" s="582"/>
    </row>
    <row r="8" spans="1:6" ht="12.75" customHeight="1" x14ac:dyDescent="0.2">
      <c r="A8" s="248" t="s">
        <v>108</v>
      </c>
      <c r="B8" s="249" t="s">
        <v>226</v>
      </c>
      <c r="C8" s="250" t="s">
        <v>227</v>
      </c>
      <c r="D8" s="13" t="s">
        <v>156</v>
      </c>
      <c r="E8" s="283">
        <f>Personalkosten!G8</f>
        <v>81438</v>
      </c>
      <c r="F8" s="283">
        <f>Personalkosten!H8</f>
        <v>50.4</v>
      </c>
    </row>
    <row r="9" spans="1:6" ht="12.75" customHeight="1" x14ac:dyDescent="0.2">
      <c r="A9" s="173" t="s">
        <v>109</v>
      </c>
      <c r="B9" s="18" t="s">
        <v>226</v>
      </c>
      <c r="C9" s="19"/>
      <c r="D9" s="18"/>
      <c r="E9" s="283">
        <f>Personalkosten!G9</f>
        <v>84307</v>
      </c>
      <c r="F9" s="283">
        <f>Personalkosten!H9</f>
        <v>52.17</v>
      </c>
    </row>
    <row r="10" spans="1:6" ht="13.5" customHeight="1" x14ac:dyDescent="0.2">
      <c r="A10" s="172" t="s">
        <v>111</v>
      </c>
      <c r="B10" s="22" t="s">
        <v>228</v>
      </c>
      <c r="C10" s="19" t="s">
        <v>158</v>
      </c>
      <c r="D10" s="18" t="s">
        <v>158</v>
      </c>
      <c r="E10" s="283">
        <f>Personalkosten!G10</f>
        <v>85002</v>
      </c>
      <c r="F10" s="283">
        <f>Personalkosten!H10</f>
        <v>52.6</v>
      </c>
    </row>
    <row r="11" spans="1:6" ht="12.75" customHeight="1" x14ac:dyDescent="0.2">
      <c r="A11" s="174" t="s">
        <v>113</v>
      </c>
      <c r="B11" s="32"/>
      <c r="C11" s="33" t="s">
        <v>229</v>
      </c>
      <c r="D11" s="203"/>
      <c r="E11" s="283">
        <f>Personalkosten!G11</f>
        <v>85921</v>
      </c>
      <c r="F11" s="283">
        <f>Personalkosten!H11</f>
        <v>53.17</v>
      </c>
    </row>
    <row r="12" spans="1:6" ht="12.75" customHeight="1" x14ac:dyDescent="0.2">
      <c r="A12" s="173" t="s">
        <v>115</v>
      </c>
      <c r="B12" s="465" t="s">
        <v>228</v>
      </c>
      <c r="C12" s="19"/>
      <c r="D12" s="267"/>
      <c r="E12" s="283">
        <f>Personalkosten!G12</f>
        <v>89187</v>
      </c>
      <c r="F12" s="283">
        <f>Personalkosten!H12</f>
        <v>55.19</v>
      </c>
    </row>
    <row r="13" spans="1:6" ht="13.5" customHeight="1" x14ac:dyDescent="0.2">
      <c r="A13" s="175" t="s">
        <v>117</v>
      </c>
      <c r="B13" s="167">
        <v>7</v>
      </c>
      <c r="C13" s="168" t="s">
        <v>230</v>
      </c>
      <c r="D13" s="167" t="s">
        <v>230</v>
      </c>
      <c r="E13" s="283">
        <f>Personalkosten!G13</f>
        <v>89601</v>
      </c>
      <c r="F13" s="283">
        <f>Personalkosten!H13</f>
        <v>55.45</v>
      </c>
    </row>
    <row r="14" spans="1:6" ht="12.75" customHeight="1" x14ac:dyDescent="0.2">
      <c r="A14" s="173" t="s">
        <v>119</v>
      </c>
      <c r="B14" s="18" t="s">
        <v>228</v>
      </c>
      <c r="C14" s="19" t="s">
        <v>165</v>
      </c>
      <c r="D14" s="18" t="s">
        <v>165</v>
      </c>
      <c r="E14" s="283">
        <f>Personalkosten!G14</f>
        <v>97049</v>
      </c>
      <c r="F14" s="283">
        <f>Personalkosten!H14</f>
        <v>60.06</v>
      </c>
    </row>
    <row r="15" spans="1:6" ht="12.75" customHeight="1" x14ac:dyDescent="0.2">
      <c r="A15" s="173" t="s">
        <v>125</v>
      </c>
      <c r="B15" s="18"/>
      <c r="C15" s="19" t="s">
        <v>166</v>
      </c>
      <c r="D15" s="18" t="s">
        <v>166</v>
      </c>
      <c r="E15" s="283">
        <f>Personalkosten!G15</f>
        <v>100175</v>
      </c>
      <c r="F15" s="283">
        <f>Personalkosten!H15</f>
        <v>61.69</v>
      </c>
    </row>
    <row r="16" spans="1:6" ht="13.5" customHeight="1" x14ac:dyDescent="0.2">
      <c r="A16" s="173" t="s">
        <v>127</v>
      </c>
      <c r="B16" s="18" t="s">
        <v>228</v>
      </c>
      <c r="C16" s="19"/>
      <c r="D16" s="18"/>
      <c r="E16" s="283">
        <f>Personalkosten!G16</f>
        <v>111405</v>
      </c>
      <c r="F16" s="283">
        <f>Personalkosten!H16</f>
        <v>68.599999999999994</v>
      </c>
    </row>
    <row r="17" spans="1:6" ht="12.75" customHeight="1" x14ac:dyDescent="0.2">
      <c r="A17" s="175" t="s">
        <v>128</v>
      </c>
      <c r="B17" s="167">
        <v>6</v>
      </c>
      <c r="C17" s="168" t="s">
        <v>167</v>
      </c>
      <c r="D17" s="167" t="s">
        <v>167</v>
      </c>
      <c r="E17" s="283">
        <f>Personalkosten!G17</f>
        <v>106746</v>
      </c>
      <c r="F17" s="283">
        <f>Personalkosten!H17</f>
        <v>65.73</v>
      </c>
    </row>
    <row r="18" spans="1:6" ht="12.75" customHeight="1" x14ac:dyDescent="0.2">
      <c r="A18" s="175" t="s">
        <v>129</v>
      </c>
      <c r="B18" s="466" t="s">
        <v>228</v>
      </c>
      <c r="C18" s="168"/>
      <c r="D18" s="167"/>
      <c r="E18" s="283">
        <f>Personalkosten!G18</f>
        <v>113692</v>
      </c>
      <c r="F18" s="283">
        <f>Personalkosten!H18</f>
        <v>70.010000000000005</v>
      </c>
    </row>
    <row r="19" spans="1:6" ht="13.5" customHeight="1" x14ac:dyDescent="0.2">
      <c r="A19" s="173" t="s">
        <v>130</v>
      </c>
      <c r="B19" s="18">
        <v>7</v>
      </c>
      <c r="C19" s="19" t="s">
        <v>168</v>
      </c>
      <c r="D19" s="18" t="s">
        <v>168</v>
      </c>
      <c r="E19" s="283">
        <f>Personalkosten!G19</f>
        <v>119167</v>
      </c>
      <c r="F19" s="283">
        <f>Personalkosten!H19</f>
        <v>73.39</v>
      </c>
    </row>
    <row r="20" spans="1:6" ht="12.75" customHeight="1" x14ac:dyDescent="0.2">
      <c r="A20" s="173" t="s">
        <v>132</v>
      </c>
      <c r="B20" s="18" t="s">
        <v>228</v>
      </c>
      <c r="C20" s="19" t="s">
        <v>170</v>
      </c>
      <c r="D20" s="18" t="s">
        <v>170</v>
      </c>
      <c r="E20" s="283">
        <f>Personalkosten!G20</f>
        <v>134179</v>
      </c>
      <c r="F20" s="283">
        <f>Personalkosten!H20</f>
        <v>82.63</v>
      </c>
    </row>
    <row r="21" spans="1:6" ht="12.75" customHeight="1" x14ac:dyDescent="0.2">
      <c r="A21" s="173" t="s">
        <v>133</v>
      </c>
      <c r="B21" s="18"/>
      <c r="C21" s="19" t="s">
        <v>231</v>
      </c>
      <c r="D21" s="18" t="s">
        <v>171</v>
      </c>
      <c r="E21" s="283">
        <f>Personalkosten!G21</f>
        <v>141165</v>
      </c>
      <c r="F21" s="283">
        <f>Personalkosten!H21</f>
        <v>84.84</v>
      </c>
    </row>
    <row r="22" spans="1:6" ht="13.5" customHeight="1" x14ac:dyDescent="0.2">
      <c r="A22" s="173" t="s">
        <v>136</v>
      </c>
      <c r="B22" s="18" t="s">
        <v>228</v>
      </c>
      <c r="C22" s="19"/>
      <c r="D22" s="18"/>
      <c r="E22" s="283">
        <f>Personalkosten!G22</f>
        <v>154990</v>
      </c>
      <c r="F22" s="283">
        <f>Personalkosten!H22</f>
        <v>93.15</v>
      </c>
    </row>
    <row r="23" spans="1:6" ht="12.75" customHeight="1" x14ac:dyDescent="0.2">
      <c r="A23" s="175" t="s">
        <v>137</v>
      </c>
      <c r="B23" s="167">
        <v>7</v>
      </c>
      <c r="C23" s="168" t="s">
        <v>173</v>
      </c>
      <c r="D23" s="167" t="s">
        <v>232</v>
      </c>
      <c r="E23" s="283">
        <f>Personalkosten!G23</f>
        <v>154551</v>
      </c>
      <c r="F23" s="283">
        <f>Personalkosten!H23</f>
        <v>92.89</v>
      </c>
    </row>
    <row r="24" spans="1:6" ht="12.75" customHeight="1" x14ac:dyDescent="0.2">
      <c r="A24" s="173" t="s">
        <v>138</v>
      </c>
      <c r="B24" s="18">
        <v>8</v>
      </c>
      <c r="C24" s="19" t="s">
        <v>174</v>
      </c>
      <c r="D24" s="18"/>
      <c r="E24" s="283">
        <f>Personalkosten!G24</f>
        <v>171490</v>
      </c>
      <c r="F24" s="283">
        <f>Personalkosten!H24</f>
        <v>103.06</v>
      </c>
    </row>
    <row r="25" spans="1:6" ht="12.75" customHeight="1" x14ac:dyDescent="0.2">
      <c r="A25" s="173" t="s">
        <v>139</v>
      </c>
      <c r="B25" s="18" t="s">
        <v>228</v>
      </c>
      <c r="C25" s="19" t="s">
        <v>176</v>
      </c>
      <c r="D25" s="18"/>
      <c r="E25" s="283">
        <f>Personalkosten!G25</f>
        <v>194805</v>
      </c>
      <c r="F25" s="283">
        <f>Personalkosten!H25</f>
        <v>117.07</v>
      </c>
    </row>
    <row r="26" spans="1:6" ht="13.5" customHeight="1" thickBot="1" x14ac:dyDescent="0.25">
      <c r="A26" s="173" t="s">
        <v>140</v>
      </c>
      <c r="B26" s="18" t="s">
        <v>228</v>
      </c>
      <c r="C26" s="19"/>
      <c r="D26" s="18"/>
      <c r="E26" s="283">
        <f>Personalkosten!G26</f>
        <v>200762</v>
      </c>
      <c r="F26" s="283">
        <f>Personalkosten!H26</f>
        <v>120.65</v>
      </c>
    </row>
    <row r="27" spans="1:6" ht="17.25" customHeight="1" thickBot="1" x14ac:dyDescent="0.25">
      <c r="A27" s="568" t="s">
        <v>218</v>
      </c>
      <c r="B27" s="586"/>
      <c r="C27" s="568" t="s">
        <v>218</v>
      </c>
      <c r="D27" s="567"/>
      <c r="E27" s="568" t="s">
        <v>218</v>
      </c>
      <c r="F27" s="567"/>
    </row>
    <row r="28" spans="1:6" x14ac:dyDescent="0.2">
      <c r="A28" s="173" t="s">
        <v>152</v>
      </c>
      <c r="B28" s="203" t="s">
        <v>226</v>
      </c>
      <c r="C28" s="51"/>
      <c r="D28" s="51"/>
      <c r="E28" s="460">
        <f>Personalkosten!G8</f>
        <v>81438</v>
      </c>
      <c r="F28" s="460">
        <f>Personalkosten!H8</f>
        <v>50.4</v>
      </c>
    </row>
    <row r="29" spans="1:6" x14ac:dyDescent="0.2">
      <c r="A29" s="173" t="s">
        <v>153</v>
      </c>
      <c r="B29" s="203"/>
      <c r="C29" s="51"/>
      <c r="D29" s="51"/>
      <c r="E29" s="460">
        <f>Personalkosten!G8</f>
        <v>81438</v>
      </c>
      <c r="F29" s="460">
        <f>Personalkosten!H8</f>
        <v>50.4</v>
      </c>
    </row>
    <row r="30" spans="1:6" x14ac:dyDescent="0.2">
      <c r="A30" s="173" t="s">
        <v>156</v>
      </c>
      <c r="B30" s="203"/>
      <c r="C30" s="51"/>
      <c r="D30" s="51"/>
      <c r="E30" s="460">
        <f>Personalkosten!G8</f>
        <v>81438</v>
      </c>
      <c r="F30" s="460">
        <f>Personalkosten!H8</f>
        <v>50.4</v>
      </c>
    </row>
    <row r="31" spans="1:6" x14ac:dyDescent="0.2">
      <c r="A31" s="173" t="s">
        <v>158</v>
      </c>
      <c r="B31" s="22" t="s">
        <v>228</v>
      </c>
      <c r="E31" s="460">
        <f>Personalkosten!G10</f>
        <v>85002</v>
      </c>
      <c r="F31" s="460">
        <f>Personalkosten!H10</f>
        <v>52.6</v>
      </c>
    </row>
    <row r="32" spans="1:6" x14ac:dyDescent="0.2">
      <c r="A32" s="174" t="s">
        <v>160</v>
      </c>
      <c r="B32" s="22"/>
      <c r="E32" s="460">
        <f>Personalkosten!G11</f>
        <v>85921</v>
      </c>
      <c r="F32" s="460">
        <f>Personalkosten!H11</f>
        <v>53.17</v>
      </c>
    </row>
    <row r="33" spans="1:6" x14ac:dyDescent="0.2">
      <c r="A33" s="174" t="s">
        <v>162</v>
      </c>
      <c r="B33" s="32"/>
      <c r="E33" s="460">
        <f>Personalkosten!G11</f>
        <v>85921</v>
      </c>
      <c r="F33" s="460">
        <f>Personalkosten!H11</f>
        <v>53.17</v>
      </c>
    </row>
    <row r="34" spans="1:6" x14ac:dyDescent="0.2">
      <c r="A34" s="174" t="s">
        <v>163</v>
      </c>
      <c r="B34" s="32"/>
      <c r="E34" s="461">
        <f>Personalkosten!G13</f>
        <v>89601</v>
      </c>
      <c r="F34" s="461">
        <f>Personalkosten!H13</f>
        <v>55.45</v>
      </c>
    </row>
    <row r="35" spans="1:6" x14ac:dyDescent="0.2">
      <c r="A35" s="173" t="s">
        <v>164</v>
      </c>
      <c r="B35" s="18">
        <v>7</v>
      </c>
      <c r="E35" s="461">
        <f>Personalkosten!G13</f>
        <v>89601</v>
      </c>
      <c r="F35" s="461">
        <f>Personalkosten!H13</f>
        <v>55.45</v>
      </c>
    </row>
    <row r="36" spans="1:6" x14ac:dyDescent="0.2">
      <c r="A36" s="173" t="s">
        <v>165</v>
      </c>
      <c r="B36" s="18" t="s">
        <v>228</v>
      </c>
      <c r="E36" s="460">
        <f>Personalkosten!G14</f>
        <v>97049</v>
      </c>
      <c r="F36" s="460">
        <f>Personalkosten!H14</f>
        <v>60.06</v>
      </c>
    </row>
    <row r="37" spans="1:6" x14ac:dyDescent="0.2">
      <c r="A37" s="173" t="s">
        <v>166</v>
      </c>
      <c r="B37" s="18"/>
      <c r="E37" s="460">
        <f>Personalkosten!G15</f>
        <v>100175</v>
      </c>
      <c r="F37" s="460">
        <f>Personalkosten!H15</f>
        <v>61.69</v>
      </c>
    </row>
    <row r="38" spans="1:6" x14ac:dyDescent="0.2">
      <c r="A38" s="175" t="s">
        <v>167</v>
      </c>
      <c r="B38" s="167">
        <v>5</v>
      </c>
      <c r="E38" s="461">
        <f>Personalkosten!G17</f>
        <v>106746</v>
      </c>
      <c r="F38" s="461">
        <f>Personalkosten!H17</f>
        <v>65.73</v>
      </c>
    </row>
    <row r="39" spans="1:6" x14ac:dyDescent="0.2">
      <c r="A39" s="173" t="s">
        <v>168</v>
      </c>
      <c r="B39" s="18">
        <v>7</v>
      </c>
      <c r="E39" s="460">
        <f>Personalkosten!G19</f>
        <v>119167</v>
      </c>
      <c r="F39" s="460">
        <f>Personalkosten!H19</f>
        <v>73.39</v>
      </c>
    </row>
    <row r="40" spans="1:6" x14ac:dyDescent="0.2">
      <c r="A40" s="173" t="s">
        <v>170</v>
      </c>
      <c r="B40" s="18" t="s">
        <v>228</v>
      </c>
      <c r="E40" s="460">
        <f>Personalkosten!G20</f>
        <v>134179</v>
      </c>
      <c r="F40" s="460">
        <f>Personalkosten!H20</f>
        <v>82.63</v>
      </c>
    </row>
    <row r="41" spans="1:6" x14ac:dyDescent="0.2">
      <c r="A41" s="173" t="s">
        <v>171</v>
      </c>
      <c r="B41" s="18"/>
      <c r="E41" s="460">
        <f>Personalkosten!G21</f>
        <v>141165</v>
      </c>
      <c r="F41" s="460">
        <f>Personalkosten!H21</f>
        <v>84.84</v>
      </c>
    </row>
    <row r="42" spans="1:6" x14ac:dyDescent="0.2">
      <c r="A42" s="173" t="s">
        <v>172</v>
      </c>
      <c r="B42" s="18"/>
      <c r="E42" s="460">
        <f>Personalkosten!G21</f>
        <v>141165</v>
      </c>
      <c r="F42" s="460">
        <f>Personalkosten!H21</f>
        <v>84.84</v>
      </c>
    </row>
    <row r="43" spans="1:6" x14ac:dyDescent="0.2">
      <c r="A43" s="175" t="s">
        <v>173</v>
      </c>
      <c r="B43" s="167">
        <v>7</v>
      </c>
      <c r="E43" s="461">
        <f>Personalkosten!G23</f>
        <v>154551</v>
      </c>
      <c r="F43" s="461">
        <f>Personalkosten!H23</f>
        <v>92.89</v>
      </c>
    </row>
    <row r="44" spans="1:6" x14ac:dyDescent="0.2">
      <c r="A44" s="173" t="s">
        <v>174</v>
      </c>
      <c r="B44" s="18">
        <v>8</v>
      </c>
      <c r="E44" s="460">
        <f>Personalkosten!G24</f>
        <v>171490</v>
      </c>
      <c r="F44" s="460">
        <f>Personalkosten!H24</f>
        <v>103.06</v>
      </c>
    </row>
    <row r="45" spans="1:6" ht="13.5" thickBot="1" x14ac:dyDescent="0.25">
      <c r="A45" s="173" t="s">
        <v>176</v>
      </c>
      <c r="B45" s="18" t="s">
        <v>228</v>
      </c>
      <c r="E45" s="460">
        <f>Personalkosten!G25</f>
        <v>194805</v>
      </c>
      <c r="F45" s="460">
        <f>Personalkosten!H25</f>
        <v>117.07</v>
      </c>
    </row>
    <row r="46" spans="1:6" ht="16.5" customHeight="1" thickBot="1" x14ac:dyDescent="0.25">
      <c r="A46" s="566" t="s">
        <v>217</v>
      </c>
      <c r="B46" s="567"/>
      <c r="C46" s="566" t="s">
        <v>217</v>
      </c>
      <c r="D46" s="567"/>
      <c r="E46" s="566" t="s">
        <v>217</v>
      </c>
      <c r="F46" s="567"/>
    </row>
    <row r="47" spans="1:6" ht="16.5" customHeight="1" x14ac:dyDescent="0.2">
      <c r="A47" s="173" t="s">
        <v>141</v>
      </c>
      <c r="B47" s="451" t="s">
        <v>233</v>
      </c>
      <c r="C47" s="173"/>
      <c r="D47" s="18"/>
      <c r="E47" s="283">
        <f>Personalkosten!G32</f>
        <v>132080</v>
      </c>
      <c r="F47" s="283">
        <f>Personalkosten!H32</f>
        <v>79.38</v>
      </c>
    </row>
    <row r="48" spans="1:6" x14ac:dyDescent="0.2">
      <c r="A48" s="173" t="s">
        <v>143</v>
      </c>
      <c r="B48" s="18"/>
      <c r="C48" s="173"/>
      <c r="D48" s="18"/>
      <c r="E48" s="283">
        <f>Personalkosten!G33</f>
        <v>131892</v>
      </c>
      <c r="F48" s="283">
        <f>Personalkosten!H33</f>
        <v>79.260000000000005</v>
      </c>
    </row>
    <row r="49" spans="1:6" x14ac:dyDescent="0.2">
      <c r="A49" s="173" t="s">
        <v>145</v>
      </c>
      <c r="B49" s="18">
        <v>2</v>
      </c>
      <c r="C49" s="587" t="s">
        <v>234</v>
      </c>
      <c r="D49" s="39"/>
      <c r="E49" s="283">
        <f>Personalkosten!G34</f>
        <v>165144</v>
      </c>
      <c r="F49" s="283">
        <f>Personalkosten!H34</f>
        <v>99.24</v>
      </c>
    </row>
    <row r="50" spans="1:6" ht="13.5" thickBot="1" x14ac:dyDescent="0.25">
      <c r="A50" s="176" t="s">
        <v>147</v>
      </c>
      <c r="B50" s="26">
        <v>2</v>
      </c>
      <c r="C50" s="588"/>
      <c r="D50" s="41"/>
      <c r="E50" s="283">
        <f>Personalkosten!G35</f>
        <v>191112</v>
      </c>
      <c r="F50" s="283">
        <f>Personalkosten!H35</f>
        <v>114.86</v>
      </c>
    </row>
    <row r="51" spans="1:6" ht="13.5" thickBot="1" x14ac:dyDescent="0.25">
      <c r="A51" s="12"/>
      <c r="B51" s="12"/>
      <c r="C51" s="12"/>
      <c r="D51" s="12"/>
      <c r="E51" s="460"/>
      <c r="F51" s="460"/>
    </row>
    <row r="52" spans="1:6" x14ac:dyDescent="0.2">
      <c r="A52" s="177" t="s">
        <v>148</v>
      </c>
      <c r="B52" s="13">
        <v>13</v>
      </c>
      <c r="C52" s="36"/>
      <c r="D52" s="37"/>
      <c r="E52" s="462">
        <f>Personalkosten!G37</f>
        <v>147731</v>
      </c>
      <c r="F52" s="462">
        <f>Personalkosten!H37</f>
        <v>88.78</v>
      </c>
    </row>
    <row r="53" spans="1:6" x14ac:dyDescent="0.2">
      <c r="A53" s="173" t="s">
        <v>149</v>
      </c>
      <c r="B53" s="18" t="s">
        <v>228</v>
      </c>
      <c r="C53" s="38"/>
      <c r="D53" s="39"/>
      <c r="E53" s="462">
        <f>Personalkosten!G38</f>
        <v>173725</v>
      </c>
      <c r="F53" s="462">
        <f>Personalkosten!H38</f>
        <v>104.4</v>
      </c>
    </row>
    <row r="54" spans="1:6" x14ac:dyDescent="0.2">
      <c r="A54" s="173" t="s">
        <v>150</v>
      </c>
      <c r="B54" s="18" t="s">
        <v>228</v>
      </c>
      <c r="C54" s="38"/>
      <c r="D54" s="39"/>
      <c r="E54" s="462">
        <f>Personalkosten!G39</f>
        <v>191407</v>
      </c>
      <c r="F54" s="462">
        <f>Personalkosten!H39</f>
        <v>115.02</v>
      </c>
    </row>
    <row r="55" spans="1:6" ht="13.5" thickBot="1" x14ac:dyDescent="0.25">
      <c r="A55" s="176" t="s">
        <v>151</v>
      </c>
      <c r="B55" s="26" t="s">
        <v>228</v>
      </c>
      <c r="C55" s="40"/>
      <c r="D55" s="41"/>
      <c r="E55" s="462">
        <f>Personalkosten!G40</f>
        <v>269391</v>
      </c>
      <c r="F55" s="462">
        <f>Personalkosten!H40</f>
        <v>161.88999999999999</v>
      </c>
    </row>
    <row r="56" spans="1:6" ht="13.5" thickBot="1" x14ac:dyDescent="0.25">
      <c r="A56" s="583" t="s">
        <v>235</v>
      </c>
      <c r="B56" s="584"/>
      <c r="C56" s="585"/>
      <c r="D56" s="44"/>
      <c r="E56" s="566" t="s">
        <v>235</v>
      </c>
      <c r="F56" s="567"/>
    </row>
    <row r="57" spans="1:6" ht="13.5" thickBot="1" x14ac:dyDescent="0.25">
      <c r="A57" s="180" t="s">
        <v>178</v>
      </c>
      <c r="B57" s="52"/>
      <c r="C57" s="181"/>
      <c r="D57" s="44"/>
      <c r="E57" s="183"/>
      <c r="F57" s="184">
        <v>22.39</v>
      </c>
    </row>
    <row r="58" spans="1:6" ht="13.5" thickBot="1" x14ac:dyDescent="0.25">
      <c r="A58" s="180" t="s">
        <v>179</v>
      </c>
      <c r="B58" s="52"/>
      <c r="C58" s="181"/>
      <c r="D58" s="44"/>
      <c r="E58" s="183"/>
      <c r="F58" s="185">
        <v>22.39</v>
      </c>
    </row>
    <row r="59" spans="1:6" ht="13.5" thickBot="1" x14ac:dyDescent="0.25">
      <c r="A59" s="180" t="s">
        <v>180</v>
      </c>
      <c r="B59" s="52"/>
      <c r="C59" s="181"/>
      <c r="D59" s="44"/>
      <c r="E59" s="183"/>
      <c r="F59" s="185">
        <v>24.08</v>
      </c>
    </row>
  </sheetData>
  <mergeCells count="21">
    <mergeCell ref="A56:C56"/>
    <mergeCell ref="A46:B46"/>
    <mergeCell ref="C46:D46"/>
    <mergeCell ref="C27:D27"/>
    <mergeCell ref="E56:F56"/>
    <mergeCell ref="A27:B27"/>
    <mergeCell ref="C49:C50"/>
    <mergeCell ref="E46:F46"/>
    <mergeCell ref="E27:F27"/>
    <mergeCell ref="A1:F1"/>
    <mergeCell ref="A3:F3"/>
    <mergeCell ref="A4:B4"/>
    <mergeCell ref="C4:D4"/>
    <mergeCell ref="A5:A7"/>
    <mergeCell ref="C5:C7"/>
    <mergeCell ref="A2:F2"/>
    <mergeCell ref="E4:F4"/>
    <mergeCell ref="B5:B7"/>
    <mergeCell ref="F5:F7"/>
    <mergeCell ref="D5:D7"/>
    <mergeCell ref="E5:E7"/>
  </mergeCells>
  <pageMargins left="0.70866141732283472" right="0.70866141732283472" top="0.78740157480314965" bottom="0.78740157480314965" header="0.31496062992125984" footer="0.31496062992125984"/>
  <pageSetup paperSize="9" scale="78"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
    <tabColor indexed="43"/>
    <pageSetUpPr fitToPage="1"/>
  </sheetPr>
  <dimension ref="A1:Y104"/>
  <sheetViews>
    <sheetView showGridLines="0" zoomScale="80" zoomScaleNormal="80" workbookViewId="0">
      <selection activeCell="J54" sqref="J54"/>
    </sheetView>
  </sheetViews>
  <sheetFormatPr baseColWidth="10" defaultColWidth="11.42578125" defaultRowHeight="12.75" x14ac:dyDescent="0.2"/>
  <cols>
    <col min="1" max="1" width="10.7109375" style="12" customWidth="1"/>
    <col min="2" max="2" width="21.28515625" style="12" customWidth="1"/>
    <col min="3" max="3" width="11.28515625" style="12" customWidth="1"/>
    <col min="4" max="4" width="10.42578125" style="12" customWidth="1"/>
    <col min="5" max="5" width="14.28515625" style="12" hidden="1" customWidth="1"/>
    <col min="6" max="6" width="17" style="12" hidden="1" customWidth="1"/>
    <col min="7" max="7" width="11.5703125" style="12" customWidth="1"/>
    <col min="8" max="8" width="11.7109375" style="12" customWidth="1"/>
    <col min="9" max="9" width="7.42578125" style="12" customWidth="1"/>
    <col min="10" max="10" width="18.7109375" style="12" customWidth="1"/>
    <col min="11" max="11" width="8.28515625" style="12" customWidth="1"/>
    <col min="12" max="12" width="16.7109375" style="12" customWidth="1"/>
    <col min="13" max="13" width="9" style="12" customWidth="1"/>
    <col min="14" max="14" width="19.7109375" style="12" customWidth="1"/>
    <col min="15" max="15" width="2.7109375" style="12" customWidth="1"/>
    <col min="16" max="16" width="14.28515625" style="12" customWidth="1"/>
    <col min="17" max="16384" width="11.42578125" style="12"/>
  </cols>
  <sheetData>
    <row r="1" spans="1:25" ht="13.5" thickBot="1" x14ac:dyDescent="0.25">
      <c r="A1" s="635" t="s">
        <v>214</v>
      </c>
      <c r="B1" s="635"/>
      <c r="C1" s="635"/>
      <c r="D1" s="635"/>
      <c r="E1" s="635"/>
      <c r="F1" s="635"/>
      <c r="G1" s="635"/>
      <c r="H1" s="635"/>
      <c r="I1" s="635"/>
      <c r="J1" s="635"/>
      <c r="K1" s="96"/>
      <c r="L1" s="96"/>
      <c r="M1" s="96"/>
      <c r="N1" s="96"/>
      <c r="O1" s="59"/>
      <c r="P1" s="59"/>
      <c r="Q1" s="59"/>
      <c r="R1" s="59"/>
      <c r="S1" s="59"/>
      <c r="T1" s="59"/>
      <c r="U1" s="59"/>
      <c r="V1" s="59"/>
      <c r="W1" s="59"/>
      <c r="X1" s="59"/>
      <c r="Y1" s="59"/>
    </row>
    <row r="2" spans="1:25" ht="16.5" thickBot="1" x14ac:dyDescent="0.3">
      <c r="A2" s="636" t="s">
        <v>236</v>
      </c>
      <c r="B2" s="637"/>
      <c r="C2" s="637"/>
      <c r="D2" s="637"/>
      <c r="E2" s="637"/>
      <c r="F2" s="637"/>
      <c r="G2" s="637"/>
      <c r="H2" s="637"/>
      <c r="I2" s="637"/>
      <c r="J2" s="637"/>
      <c r="K2" s="179"/>
      <c r="L2" s="179"/>
      <c r="M2" s="91"/>
      <c r="N2" s="92"/>
      <c r="O2" s="59"/>
      <c r="P2" s="319" t="s">
        <v>237</v>
      </c>
      <c r="Q2" s="59"/>
      <c r="R2" s="59"/>
      <c r="S2" s="59"/>
      <c r="T2" s="59"/>
      <c r="U2" s="59"/>
      <c r="V2" s="59"/>
      <c r="W2" s="59"/>
      <c r="X2" s="59"/>
      <c r="Y2" s="59"/>
    </row>
    <row r="3" spans="1:25" ht="13.5" customHeight="1" thickBot="1" x14ac:dyDescent="0.25">
      <c r="A3" s="649" t="s">
        <v>216</v>
      </c>
      <c r="B3" s="619"/>
      <c r="C3" s="619"/>
      <c r="D3" s="619"/>
      <c r="E3" s="619"/>
      <c r="F3" s="619"/>
      <c r="G3" s="619"/>
      <c r="H3" s="619"/>
      <c r="I3" s="650"/>
      <c r="J3" s="650"/>
      <c r="K3" s="650"/>
      <c r="L3" s="650"/>
      <c r="M3" s="650"/>
      <c r="N3" s="651"/>
      <c r="O3" s="59"/>
      <c r="P3" s="95"/>
      <c r="Q3" s="95"/>
      <c r="R3" s="95"/>
      <c r="S3" s="59"/>
      <c r="T3" s="59"/>
      <c r="U3" s="59"/>
      <c r="V3" s="59"/>
      <c r="W3" s="59"/>
      <c r="X3" s="59"/>
      <c r="Y3" s="59"/>
    </row>
    <row r="4" spans="1:25" ht="13.5" customHeight="1" thickBot="1" x14ac:dyDescent="0.25">
      <c r="A4" s="654" t="s">
        <v>217</v>
      </c>
      <c r="B4" s="665"/>
      <c r="C4" s="655" t="s">
        <v>218</v>
      </c>
      <c r="D4" s="665"/>
      <c r="E4" s="654" t="s">
        <v>238</v>
      </c>
      <c r="F4" s="655"/>
      <c r="G4" s="654" t="s">
        <v>239</v>
      </c>
      <c r="H4" s="665"/>
      <c r="I4" s="186" t="s">
        <v>240</v>
      </c>
      <c r="J4" s="641" t="s">
        <v>241</v>
      </c>
      <c r="K4" s="194" t="s">
        <v>240</v>
      </c>
      <c r="L4" s="646" t="s">
        <v>242</v>
      </c>
      <c r="M4" s="195" t="s">
        <v>240</v>
      </c>
      <c r="N4" s="659" t="s">
        <v>243</v>
      </c>
      <c r="O4" s="59"/>
      <c r="P4" s="666" t="s">
        <v>244</v>
      </c>
      <c r="Q4" s="667"/>
      <c r="R4" s="667"/>
      <c r="S4" s="320"/>
      <c r="T4" s="59"/>
      <c r="U4" s="59"/>
      <c r="V4" s="59"/>
      <c r="W4" s="59"/>
      <c r="X4" s="59"/>
      <c r="Y4" s="59"/>
    </row>
    <row r="5" spans="1:25" ht="12.75" customHeight="1" x14ac:dyDescent="0.2">
      <c r="A5" s="652" t="s">
        <v>220</v>
      </c>
      <c r="B5" s="673" t="s">
        <v>221</v>
      </c>
      <c r="C5" s="662" t="s">
        <v>222</v>
      </c>
      <c r="D5" s="644" t="s">
        <v>245</v>
      </c>
      <c r="E5" s="678" t="s">
        <v>224</v>
      </c>
      <c r="F5" s="680" t="s">
        <v>225</v>
      </c>
      <c r="G5" s="682" t="s">
        <v>246</v>
      </c>
      <c r="H5" s="662" t="s">
        <v>247</v>
      </c>
      <c r="I5" s="638"/>
      <c r="J5" s="642"/>
      <c r="K5" s="675"/>
      <c r="L5" s="647"/>
      <c r="M5" s="632"/>
      <c r="N5" s="660"/>
      <c r="O5" s="59"/>
      <c r="P5" s="668"/>
      <c r="Q5" s="669"/>
      <c r="R5" s="669"/>
      <c r="S5" s="321"/>
      <c r="T5" s="59"/>
      <c r="U5" s="59"/>
      <c r="V5" s="59"/>
      <c r="W5" s="59"/>
      <c r="X5" s="59"/>
      <c r="Y5" s="59"/>
    </row>
    <row r="6" spans="1:25" ht="12.75" customHeight="1" x14ac:dyDescent="0.2">
      <c r="A6" s="652"/>
      <c r="B6" s="673"/>
      <c r="C6" s="663"/>
      <c r="D6" s="644"/>
      <c r="E6" s="678"/>
      <c r="F6" s="680"/>
      <c r="G6" s="683"/>
      <c r="H6" s="663"/>
      <c r="I6" s="639"/>
      <c r="J6" s="642"/>
      <c r="K6" s="676"/>
      <c r="L6" s="647"/>
      <c r="M6" s="633"/>
      <c r="N6" s="660"/>
      <c r="O6" s="59"/>
      <c r="P6" s="670"/>
      <c r="Q6" s="671"/>
      <c r="R6" s="671"/>
      <c r="S6" s="322"/>
      <c r="T6" s="59"/>
      <c r="U6" s="59"/>
      <c r="V6" s="59"/>
      <c r="W6" s="59"/>
      <c r="X6" s="59"/>
      <c r="Y6" s="59"/>
    </row>
    <row r="7" spans="1:25" ht="54" customHeight="1" thickBot="1" x14ac:dyDescent="0.25">
      <c r="A7" s="653"/>
      <c r="B7" s="674"/>
      <c r="C7" s="664"/>
      <c r="D7" s="645"/>
      <c r="E7" s="679"/>
      <c r="F7" s="681"/>
      <c r="G7" s="684"/>
      <c r="H7" s="664"/>
      <c r="I7" s="640"/>
      <c r="J7" s="643"/>
      <c r="K7" s="677"/>
      <c r="L7" s="648"/>
      <c r="M7" s="634"/>
      <c r="N7" s="661"/>
      <c r="O7" s="59"/>
      <c r="P7" s="95"/>
      <c r="Q7" s="95"/>
      <c r="R7" s="95"/>
      <c r="S7" s="59"/>
      <c r="T7" s="59"/>
      <c r="U7" s="59"/>
      <c r="V7" s="59"/>
      <c r="W7" s="59"/>
      <c r="X7" s="59"/>
      <c r="Y7" s="59"/>
    </row>
    <row r="8" spans="1:25" ht="18.75" customHeight="1" thickBot="1" x14ac:dyDescent="0.3">
      <c r="A8" s="248" t="s">
        <v>108</v>
      </c>
      <c r="B8" s="249" t="s">
        <v>228</v>
      </c>
      <c r="C8" s="250" t="s">
        <v>227</v>
      </c>
      <c r="D8" s="13" t="s">
        <v>156</v>
      </c>
      <c r="E8" s="14"/>
      <c r="F8" s="251"/>
      <c r="G8" s="287">
        <v>81438</v>
      </c>
      <c r="H8" s="187">
        <v>50.4</v>
      </c>
      <c r="I8" s="467"/>
      <c r="J8" s="16">
        <f t="shared" ref="J8:J40" si="0">H8*I8</f>
        <v>0</v>
      </c>
      <c r="K8" s="468"/>
      <c r="L8" s="16">
        <f>K8*H8</f>
        <v>0</v>
      </c>
      <c r="M8" s="17"/>
      <c r="N8" s="16">
        <f t="shared" ref="N8:N40" si="1">H8*M8</f>
        <v>0</v>
      </c>
      <c r="O8" s="59"/>
      <c r="P8" s="608" t="s">
        <v>248</v>
      </c>
      <c r="Q8" s="609"/>
      <c r="R8" s="610"/>
      <c r="S8" s="323">
        <v>1720</v>
      </c>
    </row>
    <row r="9" spans="1:25" ht="16.5" thickBot="1" x14ac:dyDescent="0.3">
      <c r="A9" s="173" t="s">
        <v>109</v>
      </c>
      <c r="B9" s="18" t="s">
        <v>228</v>
      </c>
      <c r="C9" s="19"/>
      <c r="D9" s="18"/>
      <c r="E9" s="20"/>
      <c r="F9" s="21"/>
      <c r="G9" s="288">
        <v>84307</v>
      </c>
      <c r="H9" s="289">
        <v>52.17</v>
      </c>
      <c r="I9" s="24"/>
      <c r="J9" s="16">
        <f>H9*I9</f>
        <v>0</v>
      </c>
      <c r="K9" s="23"/>
      <c r="L9" s="16">
        <f t="shared" ref="L9:L26" si="2">K9*H9</f>
        <v>0</v>
      </c>
      <c r="M9" s="24"/>
      <c r="N9" s="16">
        <f>H9*M9</f>
        <v>0</v>
      </c>
      <c r="O9" s="59"/>
      <c r="P9" s="608" t="s">
        <v>249</v>
      </c>
      <c r="Q9" s="609"/>
      <c r="R9" s="610"/>
      <c r="S9" s="324">
        <f>S8/12</f>
        <v>143.33333333333334</v>
      </c>
    </row>
    <row r="10" spans="1:25" ht="16.5" thickBot="1" x14ac:dyDescent="0.3">
      <c r="A10" s="172" t="s">
        <v>111</v>
      </c>
      <c r="B10" s="22" t="s">
        <v>228</v>
      </c>
      <c r="C10" s="19" t="s">
        <v>158</v>
      </c>
      <c r="D10" s="18" t="s">
        <v>158</v>
      </c>
      <c r="E10" s="20"/>
      <c r="F10" s="25"/>
      <c r="G10" s="288">
        <v>85002</v>
      </c>
      <c r="H10" s="289">
        <v>52.6</v>
      </c>
      <c r="I10" s="17"/>
      <c r="J10" s="16">
        <f t="shared" si="0"/>
        <v>0</v>
      </c>
      <c r="K10" s="15"/>
      <c r="L10" s="16">
        <f t="shared" si="2"/>
        <v>0</v>
      </c>
      <c r="M10" s="17"/>
      <c r="N10" s="16">
        <f t="shared" si="1"/>
        <v>0</v>
      </c>
      <c r="O10" s="59"/>
      <c r="P10" s="608" t="s">
        <v>250</v>
      </c>
      <c r="Q10" s="609"/>
      <c r="R10" s="610"/>
      <c r="S10" s="324">
        <f>S9/19</f>
        <v>7.5438596491228074</v>
      </c>
    </row>
    <row r="11" spans="1:25" ht="16.5" thickBot="1" x14ac:dyDescent="0.3">
      <c r="A11" s="174" t="s">
        <v>113</v>
      </c>
      <c r="B11" s="32"/>
      <c r="C11" s="33" t="s">
        <v>229</v>
      </c>
      <c r="D11" s="203"/>
      <c r="E11" s="202"/>
      <c r="F11" s="21"/>
      <c r="G11" s="288">
        <v>85921</v>
      </c>
      <c r="H11" s="289">
        <v>53.17</v>
      </c>
      <c r="I11" s="17"/>
      <c r="J11" s="16">
        <f t="shared" si="0"/>
        <v>0</v>
      </c>
      <c r="K11" s="15"/>
      <c r="L11" s="16">
        <f t="shared" si="2"/>
        <v>0</v>
      </c>
      <c r="M11" s="17"/>
      <c r="N11" s="16">
        <f t="shared" si="1"/>
        <v>0</v>
      </c>
      <c r="O11" s="59"/>
      <c r="P11" s="59"/>
      <c r="Q11" s="59"/>
      <c r="R11" s="59"/>
      <c r="S11" s="59"/>
    </row>
    <row r="12" spans="1:25" ht="15.75" x14ac:dyDescent="0.25">
      <c r="A12" s="173" t="s">
        <v>115</v>
      </c>
      <c r="B12" s="465" t="s">
        <v>228</v>
      </c>
      <c r="C12" s="19"/>
      <c r="D12" s="267"/>
      <c r="E12" s="202"/>
      <c r="F12" s="21"/>
      <c r="G12" s="288">
        <v>89187</v>
      </c>
      <c r="H12" s="289">
        <v>55.19</v>
      </c>
      <c r="I12" s="272"/>
      <c r="J12" s="271">
        <f t="shared" si="0"/>
        <v>0</v>
      </c>
      <c r="K12" s="270"/>
      <c r="L12" s="271">
        <f t="shared" si="2"/>
        <v>0</v>
      </c>
      <c r="M12" s="272"/>
      <c r="N12" s="271">
        <f t="shared" si="1"/>
        <v>0</v>
      </c>
      <c r="O12" s="59"/>
      <c r="P12" s="59"/>
      <c r="Q12" s="59"/>
      <c r="R12" s="59"/>
      <c r="S12" s="59"/>
    </row>
    <row r="13" spans="1:25" ht="16.5" thickBot="1" x14ac:dyDescent="0.3">
      <c r="A13" s="175" t="s">
        <v>117</v>
      </c>
      <c r="B13" s="167">
        <v>8</v>
      </c>
      <c r="C13" s="168" t="s">
        <v>230</v>
      </c>
      <c r="D13" s="167" t="s">
        <v>230</v>
      </c>
      <c r="E13" s="268"/>
      <c r="F13" s="269"/>
      <c r="G13" s="288">
        <v>89601</v>
      </c>
      <c r="H13" s="289">
        <v>55.45</v>
      </c>
      <c r="I13" s="24"/>
      <c r="J13" s="247">
        <f t="shared" si="0"/>
        <v>0</v>
      </c>
      <c r="K13" s="23"/>
      <c r="L13" s="247">
        <f t="shared" si="2"/>
        <v>0</v>
      </c>
      <c r="M13" s="24"/>
      <c r="N13" s="247">
        <f t="shared" si="1"/>
        <v>0</v>
      </c>
      <c r="O13" s="59"/>
      <c r="P13" s="620" t="s">
        <v>251</v>
      </c>
      <c r="Q13" s="621"/>
      <c r="R13" s="621"/>
      <c r="S13" s="622"/>
    </row>
    <row r="14" spans="1:25" ht="16.5" customHeight="1" thickBot="1" x14ac:dyDescent="0.3">
      <c r="A14" s="173" t="s">
        <v>119</v>
      </c>
      <c r="B14" s="18" t="s">
        <v>228</v>
      </c>
      <c r="C14" s="19" t="s">
        <v>165</v>
      </c>
      <c r="D14" s="18" t="s">
        <v>165</v>
      </c>
      <c r="E14" s="29"/>
      <c r="F14" s="30"/>
      <c r="G14" s="288">
        <v>97049</v>
      </c>
      <c r="H14" s="289">
        <v>60.06</v>
      </c>
      <c r="I14" s="17"/>
      <c r="J14" s="16">
        <f t="shared" si="0"/>
        <v>0</v>
      </c>
      <c r="K14" s="15"/>
      <c r="L14" s="16">
        <f t="shared" si="2"/>
        <v>0</v>
      </c>
      <c r="M14" s="17"/>
      <c r="N14" s="16">
        <f t="shared" si="1"/>
        <v>0</v>
      </c>
      <c r="O14" s="59"/>
      <c r="P14" s="623" t="s">
        <v>252</v>
      </c>
      <c r="Q14" s="624"/>
      <c r="R14" s="624"/>
      <c r="S14" s="625"/>
      <c r="T14" s="59"/>
      <c r="U14" s="59"/>
      <c r="V14" s="59"/>
      <c r="W14" s="59"/>
      <c r="X14" s="59"/>
      <c r="Y14" s="59"/>
    </row>
    <row r="15" spans="1:25" ht="16.5" thickBot="1" x14ac:dyDescent="0.3">
      <c r="A15" s="173" t="s">
        <v>125</v>
      </c>
      <c r="B15" s="18"/>
      <c r="C15" s="19" t="s">
        <v>166</v>
      </c>
      <c r="D15" s="18" t="s">
        <v>166</v>
      </c>
      <c r="E15" s="29"/>
      <c r="F15" s="30"/>
      <c r="G15" s="288">
        <v>100175</v>
      </c>
      <c r="H15" s="289">
        <v>61.69</v>
      </c>
      <c r="I15" s="24"/>
      <c r="J15" s="16">
        <f t="shared" si="0"/>
        <v>0</v>
      </c>
      <c r="K15" s="23"/>
      <c r="L15" s="16">
        <f t="shared" si="2"/>
        <v>0</v>
      </c>
      <c r="M15" s="24"/>
      <c r="N15" s="16">
        <f t="shared" si="1"/>
        <v>0</v>
      </c>
      <c r="O15" s="59"/>
      <c r="P15" s="626"/>
      <c r="Q15" s="627"/>
      <c r="R15" s="627"/>
      <c r="S15" s="628"/>
      <c r="T15" s="59"/>
      <c r="U15" s="59"/>
      <c r="V15" s="59"/>
      <c r="W15" s="59"/>
      <c r="X15" s="59"/>
      <c r="Y15" s="59"/>
    </row>
    <row r="16" spans="1:25" ht="16.5" thickBot="1" x14ac:dyDescent="0.3">
      <c r="A16" s="173" t="s">
        <v>127</v>
      </c>
      <c r="B16" s="18" t="s">
        <v>228</v>
      </c>
      <c r="C16" s="19"/>
      <c r="D16" s="18"/>
      <c r="E16" s="29"/>
      <c r="F16" s="30"/>
      <c r="G16" s="288">
        <v>111405</v>
      </c>
      <c r="H16" s="289">
        <v>68.599999999999994</v>
      </c>
      <c r="I16" s="17"/>
      <c r="J16" s="16">
        <f t="shared" si="0"/>
        <v>0</v>
      </c>
      <c r="K16" s="15"/>
      <c r="L16" s="16">
        <f t="shared" si="2"/>
        <v>0</v>
      </c>
      <c r="M16" s="17"/>
      <c r="N16" s="16">
        <f t="shared" si="1"/>
        <v>0</v>
      </c>
      <c r="O16" s="59"/>
      <c r="P16" s="626"/>
      <c r="Q16" s="627"/>
      <c r="R16" s="627"/>
      <c r="S16" s="628"/>
      <c r="T16" s="59"/>
      <c r="U16" s="59"/>
      <c r="V16" s="59"/>
      <c r="W16" s="59"/>
      <c r="X16" s="59"/>
      <c r="Y16" s="59"/>
    </row>
    <row r="17" spans="1:25" ht="16.5" thickBot="1" x14ac:dyDescent="0.3">
      <c r="A17" s="175" t="s">
        <v>128</v>
      </c>
      <c r="B17" s="167">
        <v>6</v>
      </c>
      <c r="C17" s="168" t="s">
        <v>167</v>
      </c>
      <c r="D17" s="167" t="s">
        <v>167</v>
      </c>
      <c r="E17" s="169"/>
      <c r="F17" s="170"/>
      <c r="G17" s="288">
        <v>106746</v>
      </c>
      <c r="H17" s="289">
        <v>65.73</v>
      </c>
      <c r="I17" s="17"/>
      <c r="J17" s="16">
        <f t="shared" si="0"/>
        <v>0</v>
      </c>
      <c r="K17" s="15"/>
      <c r="L17" s="16">
        <f t="shared" si="2"/>
        <v>0</v>
      </c>
      <c r="M17" s="17"/>
      <c r="N17" s="16">
        <f t="shared" si="1"/>
        <v>0</v>
      </c>
      <c r="O17" s="59"/>
      <c r="P17" s="626"/>
      <c r="Q17" s="627"/>
      <c r="R17" s="627"/>
      <c r="S17" s="628"/>
      <c r="T17" s="59"/>
      <c r="U17" s="59"/>
      <c r="V17" s="59"/>
      <c r="W17" s="59"/>
      <c r="X17" s="59"/>
      <c r="Y17" s="59"/>
    </row>
    <row r="18" spans="1:25" ht="16.5" thickBot="1" x14ac:dyDescent="0.3">
      <c r="A18" s="175" t="s">
        <v>129</v>
      </c>
      <c r="B18" s="466" t="s">
        <v>228</v>
      </c>
      <c r="C18" s="168"/>
      <c r="D18" s="167"/>
      <c r="E18" s="169"/>
      <c r="F18" s="170"/>
      <c r="G18" s="288">
        <v>113692</v>
      </c>
      <c r="H18" s="289">
        <v>70.010000000000005</v>
      </c>
      <c r="I18" s="17"/>
      <c r="J18" s="16">
        <f t="shared" si="0"/>
        <v>0</v>
      </c>
      <c r="K18" s="17"/>
      <c r="L18" s="16">
        <f t="shared" si="2"/>
        <v>0</v>
      </c>
      <c r="M18" s="17"/>
      <c r="N18" s="16">
        <f t="shared" si="1"/>
        <v>0</v>
      </c>
      <c r="O18" s="59"/>
      <c r="P18" s="626"/>
      <c r="Q18" s="627"/>
      <c r="R18" s="627"/>
      <c r="S18" s="628"/>
      <c r="T18" s="59"/>
      <c r="U18" s="59"/>
      <c r="V18" s="59"/>
      <c r="W18" s="59"/>
      <c r="X18" s="59"/>
      <c r="Y18" s="59"/>
    </row>
    <row r="19" spans="1:25" ht="16.5" thickBot="1" x14ac:dyDescent="0.3">
      <c r="A19" s="173" t="s">
        <v>130</v>
      </c>
      <c r="B19" s="18">
        <v>8</v>
      </c>
      <c r="C19" s="19" t="s">
        <v>168</v>
      </c>
      <c r="D19" s="18" t="s">
        <v>168</v>
      </c>
      <c r="E19" s="20"/>
      <c r="F19" s="21"/>
      <c r="G19" s="288">
        <v>119167</v>
      </c>
      <c r="H19" s="289">
        <v>73.39</v>
      </c>
      <c r="I19" s="24"/>
      <c r="J19" s="16">
        <f>H19*I19</f>
        <v>0</v>
      </c>
      <c r="K19" s="23"/>
      <c r="L19" s="16">
        <f t="shared" si="2"/>
        <v>0</v>
      </c>
      <c r="M19" s="24"/>
      <c r="N19" s="16">
        <f t="shared" si="1"/>
        <v>0</v>
      </c>
      <c r="O19" s="59"/>
      <c r="P19" s="626"/>
      <c r="Q19" s="627"/>
      <c r="R19" s="627"/>
      <c r="S19" s="628"/>
      <c r="T19" s="59"/>
      <c r="U19" s="59"/>
      <c r="V19" s="59"/>
      <c r="W19" s="59"/>
      <c r="X19" s="59"/>
      <c r="Y19" s="59"/>
    </row>
    <row r="20" spans="1:25" ht="16.5" thickBot="1" x14ac:dyDescent="0.3">
      <c r="A20" s="173" t="s">
        <v>132</v>
      </c>
      <c r="B20" s="18" t="s">
        <v>228</v>
      </c>
      <c r="C20" s="19" t="s">
        <v>170</v>
      </c>
      <c r="D20" s="18" t="s">
        <v>170</v>
      </c>
      <c r="E20" s="20"/>
      <c r="F20" s="21"/>
      <c r="G20" s="288">
        <v>134179</v>
      </c>
      <c r="H20" s="289">
        <v>82.63</v>
      </c>
      <c r="I20" s="17"/>
      <c r="J20" s="16">
        <f t="shared" si="0"/>
        <v>0</v>
      </c>
      <c r="K20" s="15"/>
      <c r="L20" s="16">
        <f t="shared" si="2"/>
        <v>0</v>
      </c>
      <c r="M20" s="17"/>
      <c r="N20" s="16">
        <f t="shared" si="1"/>
        <v>0</v>
      </c>
      <c r="O20" s="59"/>
      <c r="P20" s="626"/>
      <c r="Q20" s="627"/>
      <c r="R20" s="627"/>
      <c r="S20" s="628"/>
      <c r="T20" s="59"/>
      <c r="U20" s="59"/>
      <c r="V20" s="59"/>
      <c r="W20" s="59"/>
      <c r="X20" s="59"/>
      <c r="Y20" s="59"/>
    </row>
    <row r="21" spans="1:25" ht="16.5" customHeight="1" thickBot="1" x14ac:dyDescent="0.3">
      <c r="A21" s="173" t="s">
        <v>133</v>
      </c>
      <c r="B21" s="18"/>
      <c r="C21" s="19" t="s">
        <v>231</v>
      </c>
      <c r="D21" s="18" t="s">
        <v>171</v>
      </c>
      <c r="E21" s="20"/>
      <c r="F21" s="21"/>
      <c r="G21" s="288">
        <v>141165</v>
      </c>
      <c r="H21" s="289">
        <v>84.84</v>
      </c>
      <c r="I21" s="24"/>
      <c r="J21" s="16">
        <f t="shared" si="0"/>
        <v>0</v>
      </c>
      <c r="K21" s="23"/>
      <c r="L21" s="16">
        <f t="shared" si="2"/>
        <v>0</v>
      </c>
      <c r="M21" s="24"/>
      <c r="N21" s="16">
        <f t="shared" si="1"/>
        <v>0</v>
      </c>
      <c r="O21" s="59"/>
      <c r="P21" s="626"/>
      <c r="Q21" s="627"/>
      <c r="R21" s="627"/>
      <c r="S21" s="628"/>
      <c r="T21" s="59"/>
      <c r="U21" s="59"/>
      <c r="V21" s="59"/>
      <c r="W21" s="59"/>
      <c r="X21" s="59"/>
      <c r="Y21" s="59"/>
    </row>
    <row r="22" spans="1:25" ht="16.5" thickBot="1" x14ac:dyDescent="0.3">
      <c r="A22" s="173" t="s">
        <v>136</v>
      </c>
      <c r="B22" s="18" t="s">
        <v>228</v>
      </c>
      <c r="C22" s="19"/>
      <c r="D22" s="18"/>
      <c r="E22" s="20"/>
      <c r="F22" s="21"/>
      <c r="G22" s="288">
        <v>154990</v>
      </c>
      <c r="H22" s="289">
        <v>93.15</v>
      </c>
      <c r="I22" s="17"/>
      <c r="J22" s="16">
        <f t="shared" si="0"/>
        <v>0</v>
      </c>
      <c r="K22" s="15"/>
      <c r="L22" s="16">
        <f t="shared" si="2"/>
        <v>0</v>
      </c>
      <c r="M22" s="17"/>
      <c r="N22" s="16">
        <f t="shared" si="1"/>
        <v>0</v>
      </c>
      <c r="O22" s="59"/>
      <c r="P22" s="626"/>
      <c r="Q22" s="627"/>
      <c r="R22" s="627"/>
      <c r="S22" s="628"/>
      <c r="T22" s="59"/>
      <c r="U22" s="59"/>
      <c r="V22" s="59"/>
      <c r="W22" s="59"/>
      <c r="X22" s="59"/>
      <c r="Y22" s="59"/>
    </row>
    <row r="23" spans="1:25" ht="15.75" customHeight="1" thickBot="1" x14ac:dyDescent="0.3">
      <c r="A23" s="175" t="s">
        <v>137</v>
      </c>
      <c r="B23" s="167">
        <v>7</v>
      </c>
      <c r="C23" s="168" t="s">
        <v>173</v>
      </c>
      <c r="D23" s="167" t="s">
        <v>232</v>
      </c>
      <c r="E23" s="169"/>
      <c r="F23" s="171"/>
      <c r="G23" s="288">
        <v>154551</v>
      </c>
      <c r="H23" s="289">
        <v>92.89</v>
      </c>
      <c r="I23" s="17"/>
      <c r="J23" s="28">
        <f t="shared" si="0"/>
        <v>0</v>
      </c>
      <c r="K23" s="15"/>
      <c r="L23" s="16">
        <f t="shared" si="2"/>
        <v>0</v>
      </c>
      <c r="M23" s="17"/>
      <c r="N23" s="16">
        <f t="shared" si="1"/>
        <v>0</v>
      </c>
      <c r="O23" s="59"/>
      <c r="P23" s="626"/>
      <c r="Q23" s="627"/>
      <c r="R23" s="627"/>
      <c r="S23" s="628"/>
      <c r="T23" s="59"/>
      <c r="U23" s="59"/>
      <c r="V23" s="59"/>
      <c r="W23" s="59"/>
      <c r="X23" s="59"/>
      <c r="Y23" s="59"/>
    </row>
    <row r="24" spans="1:25" ht="16.5" thickBot="1" x14ac:dyDescent="0.3">
      <c r="A24" s="173" t="s">
        <v>138</v>
      </c>
      <c r="B24" s="18">
        <v>8</v>
      </c>
      <c r="C24" s="19" t="s">
        <v>174</v>
      </c>
      <c r="D24" s="18"/>
      <c r="E24" s="20"/>
      <c r="F24" s="25"/>
      <c r="G24" s="288">
        <v>171490</v>
      </c>
      <c r="H24" s="289">
        <v>103.06</v>
      </c>
      <c r="I24" s="17"/>
      <c r="J24" s="16">
        <f t="shared" si="0"/>
        <v>0</v>
      </c>
      <c r="K24" s="15"/>
      <c r="L24" s="16">
        <f t="shared" si="2"/>
        <v>0</v>
      </c>
      <c r="M24" s="17"/>
      <c r="N24" s="16">
        <f t="shared" si="1"/>
        <v>0</v>
      </c>
      <c r="O24" s="59"/>
      <c r="P24" s="626"/>
      <c r="Q24" s="627"/>
      <c r="R24" s="627"/>
      <c r="S24" s="628"/>
      <c r="T24" s="59"/>
      <c r="U24" s="59"/>
      <c r="V24" s="59"/>
      <c r="W24" s="59"/>
      <c r="X24" s="59"/>
      <c r="Y24" s="59"/>
    </row>
    <row r="25" spans="1:25" ht="16.5" thickBot="1" x14ac:dyDescent="0.3">
      <c r="A25" s="173" t="s">
        <v>139</v>
      </c>
      <c r="B25" s="18" t="s">
        <v>228</v>
      </c>
      <c r="C25" s="19" t="s">
        <v>176</v>
      </c>
      <c r="D25" s="18"/>
      <c r="E25" s="20"/>
      <c r="F25" s="25"/>
      <c r="G25" s="288">
        <v>194805</v>
      </c>
      <c r="H25" s="289">
        <v>117.07</v>
      </c>
      <c r="I25" s="24"/>
      <c r="J25" s="16">
        <f t="shared" si="0"/>
        <v>0</v>
      </c>
      <c r="K25" s="23"/>
      <c r="L25" s="28">
        <f t="shared" si="2"/>
        <v>0</v>
      </c>
      <c r="M25" s="24"/>
      <c r="N25" s="16">
        <f t="shared" si="1"/>
        <v>0</v>
      </c>
      <c r="O25" s="59"/>
      <c r="P25" s="626"/>
      <c r="Q25" s="627"/>
      <c r="R25" s="627"/>
      <c r="S25" s="628"/>
      <c r="T25" s="59"/>
      <c r="U25" s="59"/>
      <c r="V25" s="59"/>
      <c r="W25" s="59"/>
      <c r="X25" s="59"/>
      <c r="Y25" s="59"/>
    </row>
    <row r="26" spans="1:25" ht="16.5" thickBot="1" x14ac:dyDescent="0.3">
      <c r="A26" s="176" t="s">
        <v>140</v>
      </c>
      <c r="B26" s="26" t="s">
        <v>228</v>
      </c>
      <c r="C26" s="31"/>
      <c r="D26" s="26"/>
      <c r="E26" s="27"/>
      <c r="F26" s="35"/>
      <c r="G26" s="288">
        <v>200762</v>
      </c>
      <c r="H26" s="290">
        <v>120.65</v>
      </c>
      <c r="I26" s="17"/>
      <c r="J26" s="28">
        <f t="shared" si="0"/>
        <v>0</v>
      </c>
      <c r="K26" s="246"/>
      <c r="L26" s="28">
        <f t="shared" si="2"/>
        <v>0</v>
      </c>
      <c r="M26" s="15"/>
      <c r="N26" s="28">
        <f t="shared" si="1"/>
        <v>0</v>
      </c>
      <c r="O26" s="59"/>
      <c r="P26" s="626"/>
      <c r="Q26" s="627"/>
      <c r="R26" s="627"/>
      <c r="S26" s="628"/>
      <c r="T26" s="59"/>
      <c r="U26" s="59"/>
      <c r="V26" s="59"/>
      <c r="W26" s="59"/>
      <c r="X26" s="59"/>
      <c r="Y26" s="59"/>
    </row>
    <row r="27" spans="1:25" ht="16.5" thickBot="1" x14ac:dyDescent="0.3">
      <c r="A27" s="241"/>
      <c r="B27" s="51"/>
      <c r="C27" s="51"/>
      <c r="D27" s="51"/>
      <c r="E27" s="45"/>
      <c r="F27" s="242"/>
      <c r="G27" s="188"/>
      <c r="H27" s="243"/>
      <c r="I27" s="244"/>
      <c r="J27" s="245"/>
      <c r="K27" s="244"/>
      <c r="L27" s="245"/>
      <c r="M27" s="244"/>
      <c r="N27" s="245"/>
      <c r="O27" s="59"/>
      <c r="P27" s="626"/>
      <c r="Q27" s="627"/>
      <c r="R27" s="627"/>
      <c r="S27" s="628"/>
      <c r="T27" s="59"/>
      <c r="U27" s="59"/>
      <c r="V27" s="59"/>
      <c r="W27" s="59"/>
      <c r="X27" s="59"/>
      <c r="Y27" s="59"/>
    </row>
    <row r="28" spans="1:25" ht="21" customHeight="1" thickBot="1" x14ac:dyDescent="0.25">
      <c r="A28" s="615" t="s">
        <v>253</v>
      </c>
      <c r="B28" s="616"/>
      <c r="C28" s="616"/>
      <c r="D28" s="616"/>
      <c r="E28" s="616"/>
      <c r="F28" s="616"/>
      <c r="G28" s="616"/>
      <c r="H28" s="617"/>
      <c r="I28" s="612" t="s">
        <v>254</v>
      </c>
      <c r="J28" s="613"/>
      <c r="K28" s="613"/>
      <c r="L28" s="613"/>
      <c r="M28" s="614"/>
      <c r="N28" s="17"/>
      <c r="O28" s="59"/>
      <c r="P28" s="626"/>
      <c r="Q28" s="627"/>
      <c r="R28" s="627"/>
      <c r="S28" s="628"/>
      <c r="T28" s="59"/>
      <c r="U28" s="59"/>
      <c r="V28" s="59"/>
      <c r="W28" s="59"/>
      <c r="X28" s="59"/>
      <c r="Y28" s="59"/>
    </row>
    <row r="29" spans="1:25" ht="21" customHeight="1" thickBot="1" x14ac:dyDescent="0.25">
      <c r="A29" s="618" t="s">
        <v>255</v>
      </c>
      <c r="B29" s="619"/>
      <c r="C29" s="619"/>
      <c r="D29" s="619"/>
      <c r="E29" s="619"/>
      <c r="F29" s="619"/>
      <c r="G29" s="619"/>
      <c r="H29" s="619"/>
      <c r="I29" s="595"/>
      <c r="J29" s="596"/>
      <c r="K29" s="596"/>
      <c r="L29" s="596"/>
      <c r="M29" s="597"/>
      <c r="N29" s="252">
        <f>N28*0.3</f>
        <v>0</v>
      </c>
      <c r="O29" s="59"/>
      <c r="P29" s="626"/>
      <c r="Q29" s="627"/>
      <c r="R29" s="627"/>
      <c r="S29" s="628"/>
      <c r="T29" s="59"/>
      <c r="U29" s="59"/>
      <c r="V29" s="59"/>
      <c r="W29" s="59"/>
      <c r="X29" s="59"/>
      <c r="Y29" s="59"/>
    </row>
    <row r="30" spans="1:25" ht="15.75" x14ac:dyDescent="0.25">
      <c r="A30" s="241"/>
      <c r="B30" s="51"/>
      <c r="C30" s="51"/>
      <c r="D30" s="51"/>
      <c r="E30" s="45"/>
      <c r="F30" s="242"/>
      <c r="G30" s="188"/>
      <c r="H30" s="243"/>
      <c r="I30" s="244"/>
      <c r="J30" s="245"/>
      <c r="K30" s="244"/>
      <c r="L30" s="245"/>
      <c r="M30" s="244"/>
      <c r="N30" s="245"/>
      <c r="O30" s="59"/>
      <c r="P30" s="626"/>
      <c r="Q30" s="627"/>
      <c r="R30" s="627"/>
      <c r="S30" s="628"/>
      <c r="T30" s="59"/>
      <c r="U30" s="59"/>
      <c r="V30" s="59"/>
      <c r="W30" s="59"/>
      <c r="X30" s="59"/>
      <c r="Y30" s="59"/>
    </row>
    <row r="31" spans="1:25" ht="16.5" thickBot="1" x14ac:dyDescent="0.3">
      <c r="A31" s="241"/>
      <c r="B31" s="51"/>
      <c r="C31" s="51"/>
      <c r="D31" s="51"/>
      <c r="E31" s="45"/>
      <c r="F31" s="242"/>
      <c r="G31" s="188"/>
      <c r="H31" s="243"/>
      <c r="I31" s="244"/>
      <c r="J31" s="245"/>
      <c r="K31" s="244"/>
      <c r="L31" s="245"/>
      <c r="M31" s="244"/>
      <c r="N31" s="245"/>
      <c r="O31" s="59"/>
      <c r="P31" s="626"/>
      <c r="Q31" s="627"/>
      <c r="R31" s="627"/>
      <c r="S31" s="628"/>
      <c r="T31" s="59"/>
      <c r="U31" s="59"/>
      <c r="V31" s="59"/>
      <c r="W31" s="59"/>
      <c r="X31" s="59"/>
      <c r="Y31" s="59"/>
    </row>
    <row r="32" spans="1:25" ht="16.5" thickBot="1" x14ac:dyDescent="0.3">
      <c r="A32" s="273" t="s">
        <v>133</v>
      </c>
      <c r="B32" s="451" t="s">
        <v>233</v>
      </c>
      <c r="C32" s="203"/>
      <c r="D32" s="203"/>
      <c r="E32" s="274"/>
      <c r="F32" s="277"/>
      <c r="G32" s="285">
        <v>132080</v>
      </c>
      <c r="H32" s="276">
        <v>79.38</v>
      </c>
      <c r="I32" s="15"/>
      <c r="J32" s="28">
        <f>H32*I32</f>
        <v>0</v>
      </c>
      <c r="K32" s="15"/>
      <c r="L32" s="28">
        <f t="shared" ref="L32:L40" si="3">K32*H32</f>
        <v>0</v>
      </c>
      <c r="M32" s="15"/>
      <c r="N32" s="28">
        <f>H32*M32</f>
        <v>0</v>
      </c>
      <c r="O32" s="59"/>
      <c r="P32" s="626"/>
      <c r="Q32" s="627"/>
      <c r="R32" s="627"/>
      <c r="S32" s="628"/>
      <c r="T32" s="59"/>
      <c r="U32" s="59"/>
      <c r="V32" s="59"/>
      <c r="W32" s="59"/>
      <c r="X32" s="59"/>
      <c r="Y32" s="59"/>
    </row>
    <row r="33" spans="1:25" ht="16.5" thickBot="1" x14ac:dyDescent="0.3">
      <c r="A33" s="172" t="s">
        <v>143</v>
      </c>
      <c r="B33" s="22"/>
      <c r="C33" s="278"/>
      <c r="D33" s="279"/>
      <c r="E33" s="280"/>
      <c r="F33" s="281"/>
      <c r="G33" s="285">
        <v>131892</v>
      </c>
      <c r="H33" s="276">
        <v>79.260000000000005</v>
      </c>
      <c r="I33" s="15"/>
      <c r="J33" s="16">
        <f>H33*I33</f>
        <v>0</v>
      </c>
      <c r="K33" s="15"/>
      <c r="L33" s="28">
        <f t="shared" si="3"/>
        <v>0</v>
      </c>
      <c r="M33" s="15"/>
      <c r="N33" s="16">
        <f>H33*M33</f>
        <v>0</v>
      </c>
      <c r="O33" s="59"/>
      <c r="P33" s="629"/>
      <c r="Q33" s="630"/>
      <c r="R33" s="630"/>
      <c r="S33" s="631"/>
      <c r="T33" s="59"/>
      <c r="U33" s="59"/>
      <c r="V33" s="59"/>
      <c r="W33" s="59"/>
      <c r="X33" s="59"/>
      <c r="Y33" s="59"/>
    </row>
    <row r="34" spans="1:25" ht="16.5" customHeight="1" thickBot="1" x14ac:dyDescent="0.3">
      <c r="A34" s="273" t="s">
        <v>145</v>
      </c>
      <c r="B34" s="203">
        <v>2</v>
      </c>
      <c r="C34" s="672" t="s">
        <v>234</v>
      </c>
      <c r="D34" s="672"/>
      <c r="E34" s="274"/>
      <c r="F34" s="275"/>
      <c r="G34" s="285">
        <v>165144</v>
      </c>
      <c r="H34" s="276">
        <v>99.24</v>
      </c>
      <c r="I34" s="23"/>
      <c r="J34" s="16">
        <f>H34*I34</f>
        <v>0</v>
      </c>
      <c r="K34" s="15"/>
      <c r="L34" s="28">
        <f t="shared" si="3"/>
        <v>0</v>
      </c>
      <c r="M34" s="23"/>
      <c r="N34" s="16">
        <f>H34*M34</f>
        <v>0</v>
      </c>
      <c r="O34" s="59"/>
      <c r="P34" s="316"/>
      <c r="Q34" s="316"/>
      <c r="R34" s="316"/>
      <c r="S34" s="316"/>
      <c r="T34" s="59"/>
      <c r="U34" s="59"/>
      <c r="V34" s="59"/>
      <c r="W34" s="59"/>
      <c r="X34" s="59"/>
      <c r="Y34" s="59"/>
    </row>
    <row r="35" spans="1:25" ht="16.5" thickBot="1" x14ac:dyDescent="0.3">
      <c r="A35" s="273" t="s">
        <v>147</v>
      </c>
      <c r="B35" s="203">
        <v>2</v>
      </c>
      <c r="C35" s="672"/>
      <c r="D35" s="672"/>
      <c r="E35" s="274"/>
      <c r="F35" s="275"/>
      <c r="G35" s="285">
        <v>191112</v>
      </c>
      <c r="H35" s="276">
        <v>114.86</v>
      </c>
      <c r="I35" s="15"/>
      <c r="J35" s="28">
        <f>H35*I35</f>
        <v>0</v>
      </c>
      <c r="K35" s="15"/>
      <c r="L35" s="28">
        <f t="shared" si="3"/>
        <v>0</v>
      </c>
      <c r="M35" s="15"/>
      <c r="N35" s="28">
        <f>H35*M35</f>
        <v>0</v>
      </c>
      <c r="O35" s="59"/>
      <c r="P35" s="316"/>
      <c r="Q35" s="316"/>
      <c r="R35" s="316"/>
      <c r="S35" s="316"/>
      <c r="T35" s="59"/>
      <c r="U35" s="59"/>
      <c r="V35" s="59"/>
      <c r="W35" s="59"/>
      <c r="X35" s="59"/>
      <c r="Y35" s="59"/>
    </row>
    <row r="36" spans="1:25" ht="16.5" thickBot="1" x14ac:dyDescent="0.3">
      <c r="G36" s="190"/>
      <c r="H36" s="191"/>
      <c r="I36" s="59"/>
      <c r="J36" s="59"/>
      <c r="L36" s="59"/>
      <c r="M36" s="59"/>
      <c r="N36" s="59"/>
      <c r="O36" s="59"/>
      <c r="P36" s="316"/>
      <c r="Q36" s="316"/>
      <c r="R36" s="316"/>
      <c r="S36" s="316"/>
      <c r="T36" s="59"/>
      <c r="U36" s="59"/>
      <c r="V36" s="59"/>
      <c r="W36" s="59"/>
      <c r="X36" s="59"/>
      <c r="Y36" s="59"/>
    </row>
    <row r="37" spans="1:25" ht="16.5" thickBot="1" x14ac:dyDescent="0.3">
      <c r="A37" s="177" t="s">
        <v>148</v>
      </c>
      <c r="B37" s="13">
        <v>13</v>
      </c>
      <c r="C37" s="36"/>
      <c r="D37" s="37"/>
      <c r="E37" s="14"/>
      <c r="F37" s="34"/>
      <c r="G37" s="189">
        <v>147731</v>
      </c>
      <c r="H37" s="187">
        <v>88.78</v>
      </c>
      <c r="I37" s="15"/>
      <c r="J37" s="28">
        <f t="shared" si="0"/>
        <v>0</v>
      </c>
      <c r="K37" s="15"/>
      <c r="L37" s="28">
        <f t="shared" si="3"/>
        <v>0</v>
      </c>
      <c r="M37" s="17"/>
      <c r="N37" s="16">
        <f t="shared" si="1"/>
        <v>0</v>
      </c>
      <c r="O37" s="59"/>
      <c r="P37" s="316"/>
      <c r="Q37" s="316"/>
      <c r="R37" s="316"/>
      <c r="S37" s="316"/>
      <c r="T37" s="59"/>
      <c r="U37" s="59"/>
      <c r="V37" s="59"/>
      <c r="W37" s="59"/>
      <c r="X37" s="59"/>
      <c r="Y37" s="59"/>
    </row>
    <row r="38" spans="1:25" ht="16.5" thickBot="1" x14ac:dyDescent="0.3">
      <c r="A38" s="173" t="s">
        <v>149</v>
      </c>
      <c r="B38" s="18" t="s">
        <v>228</v>
      </c>
      <c r="C38" s="38"/>
      <c r="D38" s="39"/>
      <c r="E38" s="20"/>
      <c r="F38" s="25"/>
      <c r="G38" s="189">
        <v>173725</v>
      </c>
      <c r="H38" s="187">
        <v>104.4</v>
      </c>
      <c r="I38" s="15"/>
      <c r="J38" s="16">
        <f t="shared" si="0"/>
        <v>0</v>
      </c>
      <c r="K38" s="15"/>
      <c r="L38" s="28">
        <f t="shared" si="3"/>
        <v>0</v>
      </c>
      <c r="M38" s="17"/>
      <c r="N38" s="16">
        <f t="shared" si="1"/>
        <v>0</v>
      </c>
      <c r="O38" s="59"/>
      <c r="P38" s="316"/>
      <c r="Q38" s="316"/>
      <c r="R38" s="316"/>
      <c r="S38" s="316"/>
      <c r="T38" s="59"/>
      <c r="U38" s="59"/>
      <c r="V38" s="59"/>
      <c r="W38" s="59"/>
      <c r="X38" s="59"/>
      <c r="Y38" s="59"/>
    </row>
    <row r="39" spans="1:25" ht="16.5" thickBot="1" x14ac:dyDescent="0.3">
      <c r="A39" s="173" t="s">
        <v>150</v>
      </c>
      <c r="B39" s="18" t="s">
        <v>228</v>
      </c>
      <c r="C39" s="38"/>
      <c r="D39" s="39"/>
      <c r="E39" s="20"/>
      <c r="F39" s="25"/>
      <c r="G39" s="189">
        <v>191407</v>
      </c>
      <c r="H39" s="187">
        <v>115.02</v>
      </c>
      <c r="I39" s="15"/>
      <c r="J39" s="16">
        <f t="shared" si="0"/>
        <v>0</v>
      </c>
      <c r="K39" s="15"/>
      <c r="L39" s="28">
        <f t="shared" si="3"/>
        <v>0</v>
      </c>
      <c r="M39" s="17"/>
      <c r="N39" s="28">
        <f t="shared" si="1"/>
        <v>0</v>
      </c>
      <c r="O39" s="59"/>
      <c r="P39" s="316"/>
      <c r="Q39" s="316"/>
      <c r="R39" s="316"/>
      <c r="S39" s="316"/>
      <c r="T39" s="59"/>
      <c r="U39" s="59"/>
      <c r="V39" s="59"/>
      <c r="W39" s="59"/>
      <c r="X39" s="59"/>
      <c r="Y39" s="59"/>
    </row>
    <row r="40" spans="1:25" ht="16.5" thickBot="1" x14ac:dyDescent="0.3">
      <c r="A40" s="176" t="s">
        <v>151</v>
      </c>
      <c r="B40" s="26" t="s">
        <v>228</v>
      </c>
      <c r="C40" s="40"/>
      <c r="D40" s="41"/>
      <c r="E40" s="27"/>
      <c r="F40" s="35"/>
      <c r="G40" s="189">
        <v>269391</v>
      </c>
      <c r="H40" s="187">
        <v>161.88999999999999</v>
      </c>
      <c r="I40" s="42"/>
      <c r="J40" s="28">
        <f t="shared" si="0"/>
        <v>0</v>
      </c>
      <c r="K40" s="15"/>
      <c r="L40" s="28">
        <f t="shared" si="3"/>
        <v>0</v>
      </c>
      <c r="M40" s="43"/>
      <c r="N40" s="182">
        <f t="shared" si="1"/>
        <v>0</v>
      </c>
      <c r="O40" s="59"/>
      <c r="P40" s="316"/>
      <c r="Q40" s="316"/>
      <c r="R40" s="316"/>
      <c r="S40" s="316"/>
      <c r="T40" s="59"/>
      <c r="U40" s="59"/>
      <c r="V40" s="59"/>
      <c r="W40" s="59"/>
      <c r="X40" s="59"/>
      <c r="Y40" s="59"/>
    </row>
    <row r="41" spans="1:25" ht="16.5" thickBot="1" x14ac:dyDescent="0.3">
      <c r="G41" s="190"/>
      <c r="H41" s="190"/>
      <c r="O41" s="59"/>
      <c r="R41" s="316"/>
      <c r="S41" s="316"/>
      <c r="T41" s="59"/>
      <c r="U41" s="59"/>
      <c r="V41" s="59"/>
      <c r="W41" s="59"/>
      <c r="X41" s="59"/>
      <c r="Y41" s="59"/>
    </row>
    <row r="42" spans="1:25" ht="13.5" customHeight="1" thickBot="1" x14ac:dyDescent="0.3">
      <c r="A42" s="583" t="s">
        <v>235</v>
      </c>
      <c r="B42" s="584"/>
      <c r="C42" s="585"/>
      <c r="D42" s="44"/>
      <c r="E42" s="45"/>
      <c r="F42" s="46"/>
      <c r="G42" s="188"/>
      <c r="H42" s="190"/>
      <c r="I42" s="47"/>
      <c r="J42" s="48"/>
      <c r="K42" s="47"/>
      <c r="L42" s="48"/>
      <c r="M42" s="47"/>
      <c r="N42" s="48"/>
      <c r="O42" s="59"/>
      <c r="P42" s="316"/>
      <c r="Q42" s="316"/>
      <c r="R42" s="73"/>
      <c r="S42" s="73"/>
      <c r="T42" s="59"/>
      <c r="U42" s="59"/>
      <c r="V42" s="59"/>
      <c r="W42" s="59"/>
      <c r="X42" s="59"/>
      <c r="Y42" s="59"/>
    </row>
    <row r="43" spans="1:25" ht="17.25" customHeight="1" thickBot="1" x14ac:dyDescent="0.3">
      <c r="A43" s="180" t="s">
        <v>178</v>
      </c>
      <c r="B43" s="52"/>
      <c r="C43" s="181"/>
      <c r="D43" s="44"/>
      <c r="E43" s="469"/>
      <c r="F43" s="46"/>
      <c r="G43" s="192"/>
      <c r="H43" s="193">
        <f>Code!F57</f>
        <v>22.39</v>
      </c>
      <c r="I43" s="198"/>
      <c r="J43" s="28">
        <f t="shared" ref="J43:J45" si="4">H43*I43</f>
        <v>0</v>
      </c>
      <c r="K43" s="15"/>
      <c r="L43" s="28">
        <f>K43*H43</f>
        <v>0</v>
      </c>
      <c r="M43" s="467"/>
      <c r="N43" s="28">
        <f>M43*H43</f>
        <v>0</v>
      </c>
      <c r="O43" s="59"/>
      <c r="P43" s="325" t="s">
        <v>256</v>
      </c>
      <c r="Q43" s="591" t="s">
        <v>257</v>
      </c>
      <c r="R43" s="592"/>
      <c r="S43" s="593"/>
      <c r="T43" s="59"/>
      <c r="U43" s="59"/>
      <c r="V43" s="73"/>
      <c r="W43" s="73"/>
      <c r="X43" s="73"/>
      <c r="Y43" s="73"/>
    </row>
    <row r="44" spans="1:25" ht="18.75" customHeight="1" thickBot="1" x14ac:dyDescent="0.3">
      <c r="A44" s="49" t="s">
        <v>179</v>
      </c>
      <c r="B44" s="52"/>
      <c r="C44" s="49"/>
      <c r="D44" s="44"/>
      <c r="E44" s="469"/>
      <c r="F44" s="46"/>
      <c r="G44" s="192"/>
      <c r="H44" s="193">
        <f>Code!F58</f>
        <v>22.39</v>
      </c>
      <c r="I44" s="198"/>
      <c r="J44" s="28">
        <f t="shared" si="4"/>
        <v>0</v>
      </c>
      <c r="K44" s="15"/>
      <c r="L44" s="28">
        <f>K44*H44</f>
        <v>0</v>
      </c>
      <c r="M44" s="467"/>
      <c r="N44" s="28">
        <f>M44*H44</f>
        <v>0</v>
      </c>
      <c r="O44" s="59"/>
      <c r="P44" s="325" t="s">
        <v>258</v>
      </c>
      <c r="Q44" s="591" t="s">
        <v>259</v>
      </c>
      <c r="R44" s="592"/>
      <c r="S44" s="593"/>
      <c r="T44" s="59"/>
      <c r="U44" s="59"/>
      <c r="V44" s="73"/>
      <c r="W44" s="73"/>
      <c r="X44" s="73"/>
      <c r="Y44" s="73"/>
    </row>
    <row r="45" spans="1:25" ht="18.75" customHeight="1" thickBot="1" x14ac:dyDescent="0.3">
      <c r="A45" s="49" t="s">
        <v>180</v>
      </c>
      <c r="B45" s="52"/>
      <c r="C45" s="49"/>
      <c r="D45" s="44"/>
      <c r="E45" s="469"/>
      <c r="F45" s="46"/>
      <c r="G45" s="192"/>
      <c r="H45" s="193">
        <f>Code!F59</f>
        <v>24.08</v>
      </c>
      <c r="I45" s="198"/>
      <c r="J45" s="28">
        <f t="shared" si="4"/>
        <v>0</v>
      </c>
      <c r="K45" s="15"/>
      <c r="L45" s="28">
        <f>K45*H45</f>
        <v>0</v>
      </c>
      <c r="M45" s="467"/>
      <c r="N45" s="28">
        <f>M45*H45</f>
        <v>0</v>
      </c>
      <c r="O45" s="59"/>
      <c r="P45" s="325" t="s">
        <v>260</v>
      </c>
      <c r="Q45" s="591" t="s">
        <v>261</v>
      </c>
      <c r="R45" s="592"/>
      <c r="S45" s="593"/>
      <c r="T45" s="59"/>
      <c r="U45" s="59"/>
      <c r="V45" s="73"/>
      <c r="W45" s="73"/>
      <c r="X45" s="73"/>
      <c r="Y45" s="73"/>
    </row>
    <row r="46" spans="1:25" ht="13.5" customHeight="1" x14ac:dyDescent="0.2">
      <c r="A46" s="94"/>
      <c r="B46" s="94"/>
      <c r="C46" s="94"/>
      <c r="D46" s="94"/>
      <c r="E46" s="117"/>
      <c r="F46" s="72"/>
      <c r="G46" s="117"/>
      <c r="H46" s="72"/>
      <c r="I46" s="118"/>
      <c r="J46" s="119"/>
      <c r="K46" s="119"/>
      <c r="L46" s="119"/>
      <c r="M46" s="119"/>
      <c r="N46" s="119"/>
      <c r="O46" s="59"/>
      <c r="P46" s="97" t="s">
        <v>262</v>
      </c>
      <c r="Q46" s="98"/>
      <c r="R46" s="98"/>
      <c r="S46" s="99"/>
      <c r="T46" s="334" t="s">
        <v>263</v>
      </c>
      <c r="U46" s="338"/>
      <c r="V46" s="339"/>
      <c r="W46" s="73"/>
      <c r="X46" s="73"/>
      <c r="Y46" s="73"/>
    </row>
    <row r="47" spans="1:25" ht="15.75" customHeight="1" x14ac:dyDescent="0.2">
      <c r="A47" s="611"/>
      <c r="B47" s="46"/>
      <c r="C47" s="611"/>
      <c r="D47" s="611"/>
      <c r="E47" s="611"/>
      <c r="F47" s="611"/>
      <c r="G47" s="611"/>
      <c r="H47" s="611"/>
      <c r="I47" s="611"/>
      <c r="J47" s="594"/>
      <c r="K47" s="594"/>
      <c r="L47" s="594"/>
      <c r="M47" s="594"/>
      <c r="N47" s="594"/>
      <c r="O47" s="59"/>
      <c r="P47" s="100" t="s">
        <v>264</v>
      </c>
      <c r="Q47" s="59"/>
      <c r="R47" s="59"/>
      <c r="S47" s="101"/>
      <c r="T47" s="108" t="s">
        <v>249</v>
      </c>
      <c r="U47" s="59"/>
      <c r="V47" s="335">
        <v>39.5</v>
      </c>
      <c r="W47" s="73"/>
      <c r="X47" s="73"/>
      <c r="Y47" s="73"/>
    </row>
    <row r="48" spans="1:25" ht="13.5" customHeight="1" x14ac:dyDescent="0.2">
      <c r="A48" s="611"/>
      <c r="C48" s="611"/>
      <c r="D48" s="611"/>
      <c r="E48" s="611"/>
      <c r="F48" s="611"/>
      <c r="G48" s="611"/>
      <c r="H48" s="611"/>
      <c r="I48" s="611"/>
      <c r="J48" s="594"/>
      <c r="K48" s="594"/>
      <c r="L48" s="594"/>
      <c r="M48" s="594"/>
      <c r="N48" s="594"/>
      <c r="O48" s="59"/>
      <c r="P48" s="102" t="s">
        <v>265</v>
      </c>
      <c r="Q48" s="59"/>
      <c r="R48" s="59"/>
      <c r="S48" s="101"/>
      <c r="T48" s="108" t="s">
        <v>266</v>
      </c>
      <c r="U48" s="59"/>
      <c r="V48" s="335">
        <f>V47*12</f>
        <v>474</v>
      </c>
      <c r="W48" s="73"/>
      <c r="X48" s="73"/>
      <c r="Y48" s="73"/>
    </row>
    <row r="49" spans="1:25" ht="13.5" customHeight="1" thickBot="1" x14ac:dyDescent="0.25">
      <c r="A49" s="120"/>
      <c r="B49" s="59"/>
      <c r="C49" s="120"/>
      <c r="D49" s="120"/>
      <c r="E49" s="120"/>
      <c r="F49" s="120"/>
      <c r="G49" s="120"/>
      <c r="H49" s="120"/>
      <c r="I49" s="120"/>
      <c r="J49" s="470" t="s">
        <v>267</v>
      </c>
      <c r="K49" s="471"/>
      <c r="L49" s="470" t="s">
        <v>268</v>
      </c>
      <c r="M49" s="121"/>
      <c r="N49" s="470" t="s">
        <v>269</v>
      </c>
      <c r="O49" s="59"/>
      <c r="P49" s="102" t="s">
        <v>270</v>
      </c>
      <c r="Q49" s="59"/>
      <c r="R49" s="59"/>
      <c r="S49" s="101"/>
      <c r="T49" s="108" t="s">
        <v>271</v>
      </c>
      <c r="U49" s="59"/>
      <c r="V49" s="336">
        <f>V47/4</f>
        <v>9.875</v>
      </c>
      <c r="W49" s="73"/>
      <c r="X49" s="73"/>
      <c r="Y49" s="73"/>
    </row>
    <row r="50" spans="1:25" ht="13.5" customHeight="1" x14ac:dyDescent="0.2">
      <c r="A50" s="589" t="s">
        <v>272</v>
      </c>
      <c r="B50" s="199"/>
      <c r="C50" s="598" t="s">
        <v>273</v>
      </c>
      <c r="D50" s="599"/>
      <c r="E50" s="599"/>
      <c r="F50" s="599"/>
      <c r="G50" s="599"/>
      <c r="H50" s="599"/>
      <c r="I50" s="600"/>
      <c r="J50" s="604">
        <f>SUM(J8:J45)</f>
        <v>0</v>
      </c>
      <c r="K50" s="607"/>
      <c r="L50" s="604">
        <f>SUM(L8:L45)</f>
        <v>0</v>
      </c>
      <c r="M50" s="607"/>
      <c r="N50" s="604">
        <f>SUM(N8:N45)</f>
        <v>0</v>
      </c>
      <c r="O50" s="59"/>
      <c r="P50" s="102" t="s">
        <v>274</v>
      </c>
      <c r="Q50" s="59"/>
      <c r="R50" s="59"/>
      <c r="S50" s="101"/>
      <c r="T50" s="108"/>
      <c r="U50" s="59"/>
      <c r="V50" s="336"/>
      <c r="W50" s="73"/>
      <c r="X50" s="73"/>
      <c r="Y50" s="73"/>
    </row>
    <row r="51" spans="1:25" ht="13.5" customHeight="1" thickBot="1" x14ac:dyDescent="0.25">
      <c r="A51" s="590"/>
      <c r="B51" s="200"/>
      <c r="C51" s="601"/>
      <c r="D51" s="602"/>
      <c r="E51" s="602"/>
      <c r="F51" s="602"/>
      <c r="G51" s="602"/>
      <c r="H51" s="602"/>
      <c r="I51" s="603"/>
      <c r="J51" s="605"/>
      <c r="K51" s="605"/>
      <c r="L51" s="605"/>
      <c r="M51" s="605"/>
      <c r="N51" s="606"/>
      <c r="O51" s="59"/>
      <c r="P51" s="103" t="s">
        <v>275</v>
      </c>
      <c r="Q51" s="104"/>
      <c r="R51" s="104"/>
      <c r="S51" s="105"/>
      <c r="T51" s="103"/>
      <c r="U51" s="104"/>
      <c r="V51" s="337"/>
      <c r="W51" s="73"/>
      <c r="X51" s="73"/>
      <c r="Y51" s="73"/>
    </row>
    <row r="52" spans="1:25" ht="13.5" customHeight="1" x14ac:dyDescent="0.2">
      <c r="C52" s="59"/>
      <c r="D52" s="59"/>
      <c r="E52" s="59"/>
      <c r="F52" s="59"/>
      <c r="G52" s="120"/>
      <c r="H52" s="120"/>
      <c r="I52" s="120"/>
      <c r="J52" s="51"/>
      <c r="K52" s="51"/>
      <c r="L52" s="51"/>
      <c r="M52" s="59"/>
      <c r="N52" s="96"/>
      <c r="O52" s="59"/>
      <c r="T52" s="59"/>
      <c r="U52" s="59"/>
      <c r="V52" s="59"/>
      <c r="W52" s="59"/>
      <c r="X52" s="59"/>
      <c r="Y52" s="59"/>
    </row>
    <row r="53" spans="1:25" ht="13.5" customHeight="1" thickBot="1" x14ac:dyDescent="0.25">
      <c r="A53" s="59"/>
      <c r="B53" s="59"/>
      <c r="C53" s="59"/>
      <c r="D53" s="59"/>
      <c r="E53" s="59"/>
      <c r="F53" s="59"/>
      <c r="G53" s="59"/>
      <c r="H53" s="59"/>
      <c r="I53" s="59"/>
      <c r="J53" s="96"/>
      <c r="K53" s="96"/>
      <c r="L53" s="96"/>
      <c r="M53" s="115"/>
      <c r="N53" s="96"/>
      <c r="O53" s="59"/>
    </row>
    <row r="54" spans="1:25" ht="25.5" customHeight="1" thickBot="1" x14ac:dyDescent="0.25">
      <c r="A54" s="656" t="s">
        <v>251</v>
      </c>
      <c r="B54" s="657"/>
      <c r="C54" s="658"/>
      <c r="D54" s="180"/>
      <c r="E54" s="196"/>
      <c r="F54" s="197"/>
      <c r="G54" s="196"/>
      <c r="H54" s="196"/>
      <c r="I54" s="201"/>
      <c r="J54" s="488"/>
      <c r="K54" s="48"/>
      <c r="L54" s="48"/>
      <c r="M54" s="47"/>
      <c r="N54" s="48"/>
      <c r="O54" s="59"/>
      <c r="P54" s="326" t="s">
        <v>276</v>
      </c>
      <c r="Q54" s="327"/>
      <c r="R54" s="327"/>
      <c r="S54" s="320"/>
    </row>
    <row r="55" spans="1:25" ht="13.5" customHeight="1" x14ac:dyDescent="0.2">
      <c r="C55" s="59"/>
      <c r="D55" s="59"/>
      <c r="E55" s="59"/>
      <c r="F55" s="59"/>
      <c r="G55" s="59"/>
      <c r="H55" s="59"/>
      <c r="I55" s="59"/>
      <c r="J55" s="59"/>
      <c r="K55" s="59"/>
      <c r="L55" s="59"/>
      <c r="M55" s="59"/>
      <c r="N55" s="59"/>
      <c r="O55" s="59"/>
      <c r="P55" s="328" t="s">
        <v>7</v>
      </c>
      <c r="Q55" s="329"/>
      <c r="R55" s="329"/>
      <c r="S55" s="321"/>
    </row>
    <row r="56" spans="1:25" ht="13.5" customHeight="1" thickBot="1" x14ac:dyDescent="0.25">
      <c r="A56" s="59"/>
      <c r="B56" s="59"/>
      <c r="C56" s="59"/>
      <c r="D56" s="59"/>
      <c r="E56" s="59"/>
      <c r="F56" s="59"/>
      <c r="G56" s="59"/>
      <c r="H56" s="59"/>
      <c r="I56" s="59"/>
      <c r="J56" s="59"/>
      <c r="K56" s="59"/>
      <c r="L56" s="59"/>
      <c r="M56" s="116"/>
      <c r="N56" s="116"/>
      <c r="O56" s="59"/>
      <c r="P56" s="330" t="s">
        <v>8</v>
      </c>
      <c r="Q56" s="331"/>
      <c r="R56" s="331"/>
      <c r="S56" s="321"/>
    </row>
    <row r="57" spans="1:25" ht="13.5" customHeight="1" thickBot="1" x14ac:dyDescent="0.25">
      <c r="A57" s="59"/>
      <c r="B57" s="59"/>
      <c r="C57" s="59"/>
      <c r="D57" s="59"/>
      <c r="E57" s="59"/>
      <c r="F57" s="59"/>
      <c r="G57" s="59"/>
      <c r="H57" s="59"/>
      <c r="I57" s="59"/>
      <c r="J57" s="116"/>
      <c r="K57" s="116"/>
      <c r="L57" s="28"/>
      <c r="M57" s="59"/>
      <c r="N57" s="59"/>
      <c r="O57" s="59"/>
      <c r="P57" s="330" t="s">
        <v>9</v>
      </c>
      <c r="Q57" s="331"/>
      <c r="R57" s="331"/>
      <c r="S57" s="321"/>
    </row>
    <row r="58" spans="1:25" ht="13.5" customHeight="1" x14ac:dyDescent="0.2">
      <c r="A58" s="59"/>
      <c r="B58" s="59"/>
      <c r="C58" s="59"/>
      <c r="D58" s="59"/>
      <c r="E58" s="59"/>
      <c r="F58" s="59"/>
      <c r="G58" s="59"/>
      <c r="H58" s="59"/>
      <c r="I58" s="59"/>
      <c r="J58" s="59"/>
      <c r="K58" s="59"/>
      <c r="L58" s="59"/>
      <c r="M58" s="59"/>
      <c r="N58" s="59"/>
      <c r="O58" s="59"/>
      <c r="P58" s="330" t="s">
        <v>277</v>
      </c>
      <c r="Q58" s="331"/>
      <c r="R58" s="331"/>
      <c r="S58" s="321"/>
    </row>
    <row r="59" spans="1:25" ht="13.5" customHeight="1" x14ac:dyDescent="0.2">
      <c r="A59" s="59"/>
      <c r="B59" s="59"/>
      <c r="C59" s="59"/>
      <c r="D59" s="59"/>
      <c r="E59" s="59"/>
      <c r="F59" s="59"/>
      <c r="G59" s="59"/>
      <c r="H59" s="59"/>
      <c r="I59" s="59"/>
      <c r="J59" s="59"/>
      <c r="K59" s="59"/>
      <c r="L59" s="59"/>
      <c r="M59" s="59"/>
      <c r="N59" s="59"/>
      <c r="O59" s="59"/>
      <c r="P59" s="330" t="s">
        <v>11</v>
      </c>
      <c r="Q59" s="331"/>
      <c r="R59" s="331"/>
      <c r="S59" s="321"/>
    </row>
    <row r="60" spans="1:25" ht="13.5" customHeight="1" x14ac:dyDescent="0.2">
      <c r="A60" s="59"/>
      <c r="B60" s="59"/>
      <c r="C60" s="59"/>
      <c r="D60" s="59"/>
      <c r="E60" s="59"/>
      <c r="F60" s="59"/>
      <c r="G60" s="59"/>
      <c r="H60" s="59"/>
      <c r="I60" s="59"/>
      <c r="J60" s="59"/>
      <c r="K60" s="59"/>
      <c r="L60" s="59"/>
      <c r="M60" s="59"/>
      <c r="N60" s="59"/>
      <c r="O60" s="59"/>
      <c r="P60" s="332" t="s">
        <v>15</v>
      </c>
      <c r="Q60" s="333"/>
      <c r="R60" s="333"/>
      <c r="S60" s="322"/>
    </row>
    <row r="61" spans="1:25" ht="13.5" customHeight="1" x14ac:dyDescent="0.2">
      <c r="A61" s="59"/>
      <c r="B61" s="59"/>
      <c r="C61" s="59"/>
      <c r="D61" s="59"/>
      <c r="E61" s="59"/>
      <c r="F61" s="59"/>
      <c r="G61" s="59"/>
      <c r="H61" s="59"/>
      <c r="I61" s="59"/>
      <c r="J61" s="59"/>
      <c r="K61" s="59"/>
      <c r="L61" s="59"/>
      <c r="M61" s="59"/>
      <c r="N61" s="59"/>
      <c r="O61" s="59"/>
      <c r="P61" s="59"/>
      <c r="Q61" s="59"/>
      <c r="R61" s="59"/>
      <c r="S61" s="59"/>
    </row>
    <row r="62" spans="1:25" ht="13.5" customHeight="1" x14ac:dyDescent="0.2">
      <c r="A62" s="59"/>
      <c r="B62" s="59"/>
      <c r="C62" s="59"/>
      <c r="D62" s="59"/>
      <c r="E62" s="59"/>
      <c r="F62" s="59"/>
      <c r="G62" s="59"/>
      <c r="H62" s="59"/>
      <c r="I62" s="59"/>
      <c r="J62" s="59"/>
      <c r="K62" s="59"/>
      <c r="L62" s="59"/>
      <c r="M62" s="59"/>
      <c r="N62" s="59"/>
      <c r="O62" s="59"/>
      <c r="P62" s="59"/>
      <c r="Q62" s="59"/>
      <c r="R62" s="59"/>
      <c r="S62" s="59"/>
    </row>
    <row r="63" spans="1:25" ht="19.5" customHeight="1" x14ac:dyDescent="0.2">
      <c r="A63" s="59"/>
      <c r="B63" s="59"/>
      <c r="C63" s="59"/>
      <c r="D63" s="59"/>
      <c r="E63" s="59"/>
      <c r="F63" s="59"/>
      <c r="G63" s="59"/>
      <c r="H63" s="59"/>
      <c r="I63" s="59"/>
      <c r="J63" s="59"/>
      <c r="K63" s="59"/>
      <c r="L63" s="59"/>
      <c r="M63" s="59"/>
      <c r="N63" s="59"/>
      <c r="O63" s="59"/>
      <c r="P63" s="59"/>
      <c r="Q63" s="59"/>
      <c r="R63" s="59"/>
      <c r="S63" s="59"/>
    </row>
    <row r="64" spans="1:25" ht="19.5" customHeight="1" x14ac:dyDescent="0.2">
      <c r="A64" s="59"/>
      <c r="B64" s="59"/>
      <c r="C64" s="59"/>
      <c r="D64" s="59"/>
      <c r="E64" s="59"/>
      <c r="F64" s="59"/>
      <c r="G64" s="59"/>
      <c r="H64" s="59"/>
      <c r="I64" s="59"/>
      <c r="J64" s="59"/>
      <c r="K64" s="59"/>
      <c r="L64" s="59"/>
      <c r="M64" s="59"/>
      <c r="N64" s="59"/>
      <c r="O64" s="59"/>
      <c r="P64" s="59"/>
      <c r="Q64" s="59"/>
      <c r="R64" s="59"/>
      <c r="S64" s="59"/>
    </row>
    <row r="65" spans="1:25" ht="19.5" customHeight="1" x14ac:dyDescent="0.2">
      <c r="A65" s="59"/>
      <c r="B65" s="59"/>
      <c r="C65" s="59"/>
      <c r="D65" s="59"/>
      <c r="E65" s="59"/>
      <c r="F65" s="59"/>
      <c r="G65" s="59"/>
      <c r="H65" s="59"/>
      <c r="I65" s="59"/>
      <c r="J65" s="59"/>
      <c r="K65" s="59"/>
      <c r="L65" s="59"/>
      <c r="M65" s="59"/>
      <c r="N65" s="59"/>
      <c r="O65" s="59"/>
      <c r="P65" s="59"/>
      <c r="Q65" s="59"/>
      <c r="R65" s="59"/>
      <c r="S65" s="59"/>
    </row>
    <row r="66" spans="1:25" ht="13.5" customHeight="1" x14ac:dyDescent="0.2">
      <c r="A66" s="59"/>
      <c r="B66" s="59"/>
      <c r="C66" s="59"/>
      <c r="D66" s="59"/>
      <c r="E66" s="59"/>
      <c r="F66" s="59"/>
      <c r="G66" s="59"/>
      <c r="H66" s="59"/>
      <c r="I66" s="59"/>
      <c r="J66" s="59"/>
      <c r="K66" s="59"/>
      <c r="L66" s="59"/>
      <c r="M66" s="59"/>
      <c r="N66" s="59"/>
      <c r="O66" s="59"/>
      <c r="P66" s="59"/>
      <c r="Q66" s="59"/>
      <c r="R66" s="59"/>
      <c r="S66" s="59"/>
      <c r="T66" s="59"/>
      <c r="U66" s="59"/>
    </row>
    <row r="67" spans="1:25" ht="13.5" customHeight="1" x14ac:dyDescent="0.2">
      <c r="A67" s="59"/>
      <c r="B67" s="59"/>
      <c r="C67" s="59"/>
      <c r="D67" s="59"/>
      <c r="E67" s="59"/>
      <c r="F67" s="59"/>
      <c r="G67" s="59"/>
      <c r="H67" s="59"/>
      <c r="I67" s="59"/>
      <c r="J67" s="59"/>
      <c r="K67" s="59"/>
      <c r="L67" s="59"/>
      <c r="M67" s="59"/>
      <c r="N67" s="59"/>
      <c r="O67" s="59"/>
      <c r="P67" s="59"/>
      <c r="Q67" s="59"/>
      <c r="R67" s="59"/>
      <c r="S67" s="59"/>
      <c r="T67" s="59"/>
      <c r="U67" s="59"/>
      <c r="V67" s="59"/>
      <c r="W67" s="59"/>
      <c r="X67" s="59"/>
      <c r="Y67" s="59"/>
    </row>
    <row r="68" spans="1:25" ht="13.5" customHeight="1" x14ac:dyDescent="0.2">
      <c r="A68" s="59"/>
      <c r="B68" s="59"/>
      <c r="C68" s="59"/>
      <c r="D68" s="59"/>
      <c r="E68" s="59"/>
      <c r="F68" s="59"/>
      <c r="G68" s="59"/>
      <c r="H68" s="59"/>
      <c r="I68" s="59"/>
      <c r="J68" s="59"/>
      <c r="K68" s="59"/>
      <c r="L68" s="59"/>
      <c r="M68" s="59"/>
      <c r="N68" s="59"/>
      <c r="O68" s="59"/>
      <c r="P68" s="59"/>
      <c r="Q68" s="59"/>
      <c r="R68" s="59"/>
      <c r="S68" s="59"/>
      <c r="T68" s="1"/>
      <c r="U68" s="1"/>
      <c r="V68" s="1"/>
      <c r="W68" s="59"/>
      <c r="X68" s="59"/>
    </row>
    <row r="69" spans="1:25" ht="13.5" customHeight="1" x14ac:dyDescent="0.2">
      <c r="A69" s="59"/>
      <c r="B69" s="59"/>
      <c r="C69" s="59"/>
      <c r="D69" s="59"/>
      <c r="E69" s="59"/>
      <c r="F69" s="59"/>
      <c r="G69" s="59"/>
      <c r="H69" s="59"/>
      <c r="I69" s="59"/>
      <c r="J69" s="59"/>
      <c r="K69" s="59"/>
      <c r="L69" s="59"/>
      <c r="M69" s="59"/>
      <c r="N69" s="59"/>
      <c r="O69" s="59"/>
      <c r="P69" s="59"/>
      <c r="Q69" s="59"/>
      <c r="R69" s="59"/>
      <c r="S69" s="59"/>
      <c r="T69" s="1"/>
      <c r="U69" s="1"/>
      <c r="V69" s="1"/>
      <c r="W69" s="59"/>
      <c r="X69" s="59"/>
    </row>
    <row r="70" spans="1:25" ht="13.5" customHeight="1" x14ac:dyDescent="0.2">
      <c r="A70" s="59"/>
      <c r="B70" s="59"/>
      <c r="C70" s="59"/>
      <c r="D70" s="59"/>
      <c r="E70" s="59"/>
      <c r="F70" s="59"/>
      <c r="G70" s="59"/>
      <c r="H70" s="59"/>
      <c r="I70" s="59"/>
      <c r="J70" s="59"/>
      <c r="K70" s="59"/>
      <c r="L70" s="59"/>
      <c r="M70" s="59"/>
      <c r="N70" s="59"/>
      <c r="O70" s="59"/>
      <c r="P70" s="59"/>
      <c r="Q70" s="59"/>
      <c r="R70" s="59"/>
      <c r="S70" s="59"/>
      <c r="T70" s="1"/>
      <c r="U70" s="1"/>
      <c r="V70" s="1"/>
      <c r="W70" s="59"/>
      <c r="X70" s="59"/>
    </row>
    <row r="71" spans="1:25" x14ac:dyDescent="0.2">
      <c r="A71" s="59"/>
      <c r="B71" s="59"/>
      <c r="C71" s="59"/>
      <c r="D71" s="59"/>
      <c r="E71" s="59"/>
      <c r="F71" s="59"/>
      <c r="G71" s="59"/>
      <c r="H71" s="59"/>
      <c r="I71" s="59"/>
      <c r="J71" s="59"/>
      <c r="K71" s="59"/>
      <c r="L71" s="59"/>
      <c r="M71" s="59"/>
      <c r="N71" s="59"/>
      <c r="O71" s="59"/>
      <c r="P71" s="59"/>
      <c r="Q71" s="59"/>
      <c r="R71" s="59"/>
      <c r="S71" s="59"/>
      <c r="T71" s="59"/>
      <c r="U71" s="59"/>
      <c r="V71" s="59"/>
      <c r="W71" s="59"/>
      <c r="X71" s="59"/>
      <c r="Y71" s="59"/>
    </row>
    <row r="72" spans="1:25" x14ac:dyDescent="0.2">
      <c r="A72" s="59"/>
      <c r="B72" s="59"/>
      <c r="C72" s="59"/>
      <c r="D72" s="59"/>
      <c r="E72" s="59"/>
      <c r="F72" s="59"/>
      <c r="G72" s="59"/>
      <c r="H72" s="59"/>
      <c r="I72" s="59"/>
      <c r="J72" s="59"/>
      <c r="K72" s="59"/>
      <c r="L72" s="59"/>
      <c r="M72" s="59"/>
      <c r="N72" s="59"/>
      <c r="O72" s="59"/>
      <c r="P72" s="59"/>
      <c r="Q72" s="59"/>
      <c r="R72" s="59"/>
      <c r="S72" s="59"/>
      <c r="T72" s="59"/>
      <c r="U72" s="59"/>
      <c r="V72" s="59"/>
      <c r="W72" s="59"/>
      <c r="X72" s="59"/>
      <c r="Y72" s="59"/>
    </row>
    <row r="73" spans="1:25" x14ac:dyDescent="0.2">
      <c r="A73" s="59"/>
      <c r="B73" s="59"/>
      <c r="C73" s="59"/>
      <c r="D73" s="59"/>
      <c r="E73" s="59"/>
      <c r="F73" s="59"/>
      <c r="G73" s="59"/>
      <c r="H73" s="59"/>
      <c r="I73" s="59"/>
      <c r="J73" s="59"/>
      <c r="K73" s="59"/>
      <c r="L73" s="59"/>
      <c r="M73" s="59"/>
      <c r="N73" s="59"/>
      <c r="O73" s="59"/>
      <c r="P73" s="59"/>
      <c r="Q73" s="59"/>
      <c r="R73" s="59"/>
      <c r="S73" s="59"/>
      <c r="T73" s="59"/>
      <c r="U73" s="59"/>
      <c r="V73" s="59"/>
      <c r="W73" s="59"/>
      <c r="X73" s="59"/>
      <c r="Y73" s="59"/>
    </row>
    <row r="74" spans="1:25" x14ac:dyDescent="0.2">
      <c r="A74" s="59"/>
      <c r="B74" s="59"/>
      <c r="C74" s="59"/>
      <c r="D74" s="59"/>
      <c r="E74" s="59"/>
      <c r="F74" s="59"/>
      <c r="G74" s="59"/>
      <c r="H74" s="59"/>
      <c r="I74" s="59"/>
      <c r="J74" s="59"/>
      <c r="K74" s="59"/>
      <c r="L74" s="59"/>
      <c r="M74" s="59"/>
      <c r="N74" s="59"/>
      <c r="O74" s="59"/>
      <c r="P74" s="59"/>
      <c r="Q74" s="59"/>
      <c r="R74" s="59"/>
      <c r="S74" s="59"/>
      <c r="T74" s="59"/>
      <c r="U74" s="59"/>
      <c r="V74" s="59"/>
      <c r="W74" s="59"/>
      <c r="X74" s="59"/>
      <c r="Y74" s="59"/>
    </row>
    <row r="75" spans="1:25" x14ac:dyDescent="0.2">
      <c r="A75" s="59"/>
      <c r="B75" s="59"/>
      <c r="C75" s="59"/>
      <c r="D75" s="59"/>
      <c r="E75" s="59"/>
      <c r="F75" s="59"/>
      <c r="G75" s="59"/>
      <c r="H75" s="59"/>
      <c r="I75" s="59"/>
      <c r="J75" s="59"/>
      <c r="K75" s="59"/>
      <c r="L75" s="59"/>
      <c r="M75" s="59"/>
      <c r="N75" s="59"/>
      <c r="O75" s="59"/>
      <c r="P75" s="59"/>
      <c r="Q75" s="59"/>
      <c r="R75" s="59"/>
      <c r="S75" s="59"/>
      <c r="T75" s="59"/>
      <c r="U75" s="59"/>
      <c r="V75" s="59"/>
      <c r="W75" s="59"/>
      <c r="X75" s="59"/>
      <c r="Y75" s="59"/>
    </row>
    <row r="76" spans="1:25" x14ac:dyDescent="0.2">
      <c r="A76" s="59"/>
      <c r="B76" s="59"/>
      <c r="C76" s="59"/>
      <c r="D76" s="59"/>
      <c r="E76" s="59"/>
      <c r="F76" s="59"/>
      <c r="G76" s="59"/>
      <c r="H76" s="59"/>
      <c r="I76" s="59"/>
      <c r="J76" s="59"/>
      <c r="K76" s="59"/>
      <c r="L76" s="59"/>
      <c r="M76" s="59"/>
      <c r="N76" s="59"/>
      <c r="O76" s="59"/>
      <c r="P76" s="59"/>
      <c r="Q76" s="59"/>
      <c r="R76" s="59"/>
      <c r="S76" s="59"/>
      <c r="T76" s="59"/>
      <c r="U76" s="59"/>
      <c r="V76" s="59"/>
      <c r="W76" s="59"/>
      <c r="X76" s="59"/>
      <c r="Y76" s="59"/>
    </row>
    <row r="77" spans="1:25" x14ac:dyDescent="0.2">
      <c r="A77" s="59"/>
      <c r="B77" s="59"/>
      <c r="C77" s="59"/>
      <c r="D77" s="59"/>
      <c r="E77" s="59"/>
      <c r="F77" s="59"/>
      <c r="G77" s="59"/>
      <c r="H77" s="59"/>
      <c r="I77" s="59"/>
      <c r="J77" s="59"/>
      <c r="K77" s="59"/>
      <c r="L77" s="59"/>
      <c r="M77" s="59"/>
      <c r="N77" s="59"/>
      <c r="O77" s="59"/>
      <c r="P77" s="59"/>
      <c r="Q77" s="59"/>
      <c r="R77" s="59"/>
      <c r="S77" s="59"/>
      <c r="T77" s="59"/>
      <c r="U77" s="59"/>
      <c r="V77" s="59"/>
      <c r="W77" s="59"/>
      <c r="X77" s="59"/>
      <c r="Y77" s="59"/>
    </row>
    <row r="78" spans="1:25" x14ac:dyDescent="0.2">
      <c r="A78" s="59"/>
      <c r="B78" s="59"/>
      <c r="C78" s="59"/>
      <c r="D78" s="59"/>
      <c r="E78" s="59"/>
      <c r="F78" s="59"/>
      <c r="G78" s="59"/>
      <c r="H78" s="59"/>
      <c r="I78" s="59"/>
      <c r="J78" s="59"/>
      <c r="K78" s="59"/>
      <c r="L78" s="59"/>
      <c r="M78" s="59"/>
      <c r="N78" s="59"/>
      <c r="O78" s="72"/>
      <c r="P78" s="59"/>
      <c r="Q78" s="59"/>
      <c r="R78" s="59"/>
      <c r="S78" s="59"/>
      <c r="T78" s="59"/>
      <c r="U78" s="59"/>
      <c r="V78" s="59"/>
      <c r="W78" s="59"/>
      <c r="X78" s="59"/>
      <c r="Y78" s="59"/>
    </row>
    <row r="79" spans="1:25" x14ac:dyDescent="0.2">
      <c r="A79" s="59"/>
      <c r="B79" s="59"/>
      <c r="C79" s="59"/>
      <c r="D79" s="59"/>
      <c r="E79" s="59"/>
      <c r="F79" s="59"/>
      <c r="G79" s="59"/>
      <c r="H79" s="59"/>
      <c r="I79" s="59"/>
      <c r="J79" s="59"/>
      <c r="K79" s="59"/>
      <c r="L79" s="59"/>
      <c r="M79" s="59"/>
      <c r="N79" s="59"/>
      <c r="O79" s="72"/>
      <c r="P79" s="59"/>
      <c r="Q79" s="59"/>
      <c r="R79" s="59"/>
      <c r="S79" s="59"/>
      <c r="T79" s="59"/>
      <c r="U79" s="59"/>
      <c r="V79" s="59"/>
      <c r="W79" s="59"/>
      <c r="X79" s="59"/>
      <c r="Y79" s="59"/>
    </row>
    <row r="80" spans="1:25" x14ac:dyDescent="0.2">
      <c r="A80" s="59"/>
      <c r="B80" s="59"/>
      <c r="C80" s="59"/>
      <c r="D80" s="59"/>
      <c r="E80" s="59"/>
      <c r="F80" s="59"/>
      <c r="G80" s="59"/>
      <c r="H80" s="59"/>
      <c r="I80" s="59"/>
      <c r="J80" s="59"/>
      <c r="K80" s="59"/>
      <c r="L80" s="59"/>
      <c r="M80" s="59"/>
      <c r="N80" s="59"/>
      <c r="O80" s="72"/>
      <c r="P80" s="59"/>
      <c r="Q80" s="59"/>
      <c r="R80" s="59"/>
      <c r="S80" s="59"/>
      <c r="T80" s="59"/>
      <c r="U80" s="59"/>
      <c r="V80" s="59"/>
      <c r="W80" s="59"/>
      <c r="X80" s="59"/>
      <c r="Y80" s="59"/>
    </row>
    <row r="81" spans="1:25" x14ac:dyDescent="0.2">
      <c r="A81" s="59"/>
      <c r="B81" s="59"/>
      <c r="C81" s="59"/>
      <c r="D81" s="59"/>
      <c r="E81" s="59"/>
      <c r="F81" s="59"/>
      <c r="G81" s="59"/>
      <c r="H81" s="59"/>
      <c r="I81" s="59"/>
      <c r="J81" s="59"/>
      <c r="K81" s="59"/>
      <c r="L81" s="59"/>
      <c r="M81" s="59"/>
      <c r="N81" s="59"/>
      <c r="O81" s="59"/>
      <c r="P81" s="59"/>
      <c r="Q81" s="59"/>
      <c r="R81" s="59"/>
      <c r="S81" s="59"/>
      <c r="T81" s="59"/>
      <c r="U81" s="59"/>
      <c r="V81" s="59"/>
      <c r="W81" s="59"/>
      <c r="X81" s="59"/>
      <c r="Y81" s="59"/>
    </row>
    <row r="82" spans="1:25" x14ac:dyDescent="0.2">
      <c r="A82" s="59"/>
      <c r="B82" s="59"/>
      <c r="C82" s="59"/>
      <c r="D82" s="59"/>
      <c r="E82" s="59"/>
      <c r="F82" s="59"/>
      <c r="G82" s="59"/>
      <c r="H82" s="59"/>
      <c r="I82" s="59"/>
      <c r="J82" s="59"/>
      <c r="K82" s="59"/>
      <c r="L82" s="59"/>
      <c r="M82" s="59"/>
      <c r="N82" s="59"/>
      <c r="O82" s="59"/>
      <c r="P82" s="59"/>
      <c r="Q82" s="59"/>
      <c r="R82" s="59"/>
      <c r="S82" s="59"/>
      <c r="T82" s="59"/>
      <c r="U82" s="59"/>
      <c r="V82" s="59"/>
      <c r="W82" s="59"/>
      <c r="X82" s="59"/>
      <c r="Y82" s="59"/>
    </row>
    <row r="83" spans="1:25" x14ac:dyDescent="0.2">
      <c r="A83" s="59"/>
      <c r="B83" s="59"/>
      <c r="C83" s="59"/>
      <c r="D83" s="59"/>
      <c r="E83" s="59"/>
      <c r="F83" s="59"/>
      <c r="G83" s="59"/>
      <c r="H83" s="59"/>
      <c r="I83" s="59"/>
      <c r="J83" s="59"/>
      <c r="K83" s="59"/>
      <c r="L83" s="59"/>
      <c r="M83" s="59"/>
      <c r="N83" s="59"/>
      <c r="O83" s="59"/>
      <c r="P83" s="59"/>
      <c r="Q83" s="59"/>
      <c r="R83" s="59"/>
      <c r="S83" s="59"/>
      <c r="T83" s="59"/>
      <c r="U83" s="59"/>
      <c r="V83" s="59"/>
      <c r="W83" s="59"/>
      <c r="X83" s="59"/>
      <c r="Y83" s="59"/>
    </row>
    <row r="84" spans="1:25" x14ac:dyDescent="0.2">
      <c r="A84" s="59"/>
      <c r="B84" s="59"/>
      <c r="C84" s="59"/>
      <c r="D84" s="59"/>
      <c r="E84" s="59"/>
      <c r="F84" s="59"/>
      <c r="G84" s="59"/>
      <c r="H84" s="59"/>
      <c r="I84" s="59"/>
      <c r="J84" s="59"/>
      <c r="K84" s="59"/>
      <c r="L84" s="59"/>
      <c r="M84" s="59"/>
      <c r="N84" s="59"/>
      <c r="O84" s="59"/>
      <c r="P84" s="59"/>
      <c r="Q84" s="59"/>
      <c r="R84" s="59"/>
      <c r="S84" s="59"/>
      <c r="T84" s="59"/>
      <c r="U84" s="59"/>
      <c r="V84" s="59"/>
      <c r="W84" s="59"/>
      <c r="X84" s="59"/>
      <c r="Y84" s="59"/>
    </row>
    <row r="85" spans="1:25" x14ac:dyDescent="0.2">
      <c r="A85" s="59"/>
      <c r="B85" s="59"/>
      <c r="C85" s="59"/>
      <c r="D85" s="59"/>
      <c r="E85" s="59"/>
      <c r="F85" s="59"/>
      <c r="G85" s="59"/>
      <c r="H85" s="59"/>
      <c r="I85" s="59"/>
      <c r="J85" s="59"/>
      <c r="K85" s="59"/>
      <c r="L85" s="59"/>
      <c r="M85" s="59"/>
      <c r="N85" s="59"/>
      <c r="O85" s="59"/>
      <c r="P85" s="59"/>
      <c r="Q85" s="59"/>
      <c r="R85" s="59"/>
      <c r="S85" s="59"/>
      <c r="T85" s="59"/>
      <c r="U85" s="59"/>
      <c r="V85" s="59"/>
      <c r="W85" s="59"/>
      <c r="X85" s="59"/>
      <c r="Y85" s="59"/>
    </row>
    <row r="86" spans="1:25" x14ac:dyDescent="0.2">
      <c r="A86" s="59"/>
      <c r="B86" s="59"/>
      <c r="C86" s="59"/>
      <c r="D86" s="59"/>
      <c r="E86" s="59"/>
      <c r="F86" s="59"/>
      <c r="G86" s="59"/>
      <c r="H86" s="59"/>
      <c r="I86" s="59"/>
      <c r="J86" s="59"/>
      <c r="K86" s="59"/>
      <c r="L86" s="59"/>
      <c r="M86" s="59"/>
      <c r="N86" s="59"/>
      <c r="O86" s="114"/>
      <c r="T86" s="59"/>
      <c r="U86" s="59"/>
      <c r="V86" s="59"/>
      <c r="W86" s="59"/>
      <c r="X86" s="59"/>
      <c r="Y86" s="59"/>
    </row>
    <row r="87" spans="1:25" x14ac:dyDescent="0.2">
      <c r="A87" s="59"/>
      <c r="B87" s="59"/>
      <c r="C87" s="59"/>
      <c r="D87" s="59"/>
      <c r="E87" s="59"/>
      <c r="F87" s="59"/>
      <c r="G87" s="59"/>
      <c r="H87" s="59"/>
      <c r="I87" s="59"/>
      <c r="J87" s="59"/>
      <c r="K87" s="59"/>
      <c r="L87" s="59"/>
      <c r="M87" s="59"/>
      <c r="N87" s="59"/>
      <c r="O87" s="59"/>
      <c r="T87" s="59"/>
      <c r="U87" s="59"/>
      <c r="V87" s="59"/>
      <c r="W87" s="59"/>
      <c r="X87" s="59"/>
      <c r="Y87" s="59"/>
    </row>
    <row r="88" spans="1:25" x14ac:dyDescent="0.2">
      <c r="A88" s="59"/>
      <c r="B88" s="59"/>
      <c r="C88" s="59"/>
      <c r="D88" s="59"/>
      <c r="E88" s="59"/>
      <c r="F88" s="59"/>
      <c r="G88" s="59"/>
      <c r="H88" s="59"/>
      <c r="I88" s="59"/>
      <c r="J88" s="59"/>
      <c r="K88" s="59"/>
      <c r="L88" s="59"/>
      <c r="M88" s="59"/>
      <c r="N88" s="59"/>
      <c r="O88" s="59"/>
      <c r="T88" s="59"/>
      <c r="U88" s="59"/>
      <c r="V88" s="59"/>
      <c r="W88" s="59"/>
      <c r="X88" s="59"/>
      <c r="Y88" s="59"/>
    </row>
    <row r="89" spans="1:25" x14ac:dyDescent="0.2">
      <c r="A89" s="59"/>
      <c r="B89" s="59"/>
      <c r="C89" s="59"/>
      <c r="D89" s="59"/>
      <c r="E89" s="59"/>
      <c r="F89" s="59"/>
      <c r="G89" s="59"/>
      <c r="H89" s="59"/>
      <c r="I89" s="59"/>
      <c r="J89" s="59"/>
      <c r="K89" s="59"/>
      <c r="L89" s="59"/>
      <c r="M89" s="59"/>
      <c r="N89" s="59"/>
      <c r="O89" s="59"/>
      <c r="T89" s="59"/>
      <c r="U89" s="59"/>
      <c r="V89" s="59"/>
      <c r="W89" s="59"/>
      <c r="X89" s="59"/>
      <c r="Y89" s="59"/>
    </row>
    <row r="90" spans="1:25" x14ac:dyDescent="0.2">
      <c r="A90" s="59"/>
      <c r="B90" s="59"/>
      <c r="C90" s="59"/>
      <c r="D90" s="59"/>
      <c r="E90" s="59"/>
      <c r="F90" s="59"/>
      <c r="G90" s="59"/>
      <c r="H90" s="59"/>
      <c r="I90" s="59"/>
      <c r="J90" s="59"/>
      <c r="K90" s="59"/>
      <c r="L90" s="59"/>
      <c r="M90" s="59"/>
      <c r="N90" s="59"/>
      <c r="O90" s="59"/>
      <c r="T90" s="59"/>
      <c r="U90" s="59"/>
      <c r="V90" s="59"/>
      <c r="W90" s="59"/>
      <c r="X90" s="59"/>
      <c r="Y90" s="59"/>
    </row>
    <row r="91" spans="1:25" x14ac:dyDescent="0.2">
      <c r="O91" s="59"/>
      <c r="T91" s="59"/>
      <c r="U91" s="59"/>
      <c r="V91" s="59"/>
      <c r="W91" s="59"/>
      <c r="X91" s="59"/>
      <c r="Y91" s="59"/>
    </row>
    <row r="92" spans="1:25" x14ac:dyDescent="0.2">
      <c r="O92" s="59"/>
      <c r="T92" s="59"/>
      <c r="U92" s="59"/>
      <c r="V92" s="59"/>
      <c r="W92" s="59"/>
      <c r="X92" s="59"/>
      <c r="Y92" s="59"/>
    </row>
    <row r="93" spans="1:25" x14ac:dyDescent="0.2">
      <c r="O93" s="59"/>
      <c r="T93" s="59"/>
      <c r="U93" s="59"/>
      <c r="V93" s="59"/>
      <c r="W93" s="59"/>
      <c r="X93" s="59"/>
      <c r="Y93" s="59"/>
    </row>
    <row r="94" spans="1:25" x14ac:dyDescent="0.2">
      <c r="O94" s="59"/>
      <c r="T94" s="59"/>
      <c r="U94" s="59"/>
      <c r="V94" s="59"/>
      <c r="W94" s="59"/>
      <c r="X94" s="59"/>
      <c r="Y94" s="59"/>
    </row>
    <row r="95" spans="1:25" x14ac:dyDescent="0.2">
      <c r="O95" s="59"/>
      <c r="T95" s="59"/>
      <c r="U95" s="59"/>
      <c r="V95" s="59"/>
      <c r="W95" s="59"/>
      <c r="X95" s="59"/>
      <c r="Y95" s="59"/>
    </row>
    <row r="96" spans="1:25" x14ac:dyDescent="0.2">
      <c r="O96" s="59"/>
      <c r="T96" s="59"/>
      <c r="U96" s="59"/>
      <c r="V96" s="59"/>
      <c r="W96" s="59"/>
      <c r="X96" s="59"/>
      <c r="Y96" s="59"/>
    </row>
    <row r="97" spans="15:25" x14ac:dyDescent="0.2">
      <c r="O97" s="59"/>
      <c r="T97" s="59"/>
      <c r="U97" s="59"/>
      <c r="V97" s="59"/>
      <c r="W97" s="59"/>
      <c r="X97" s="59"/>
      <c r="Y97" s="59"/>
    </row>
    <row r="98" spans="15:25" x14ac:dyDescent="0.2">
      <c r="O98" s="59"/>
      <c r="T98" s="59"/>
      <c r="U98" s="59"/>
      <c r="V98" s="59"/>
      <c r="W98" s="59"/>
      <c r="X98" s="59"/>
      <c r="Y98" s="59"/>
    </row>
    <row r="99" spans="15:25" x14ac:dyDescent="0.2">
      <c r="O99" s="59"/>
      <c r="T99" s="59"/>
      <c r="U99" s="59"/>
      <c r="V99" s="59"/>
      <c r="W99" s="59"/>
      <c r="X99" s="59"/>
      <c r="Y99" s="59"/>
    </row>
    <row r="100" spans="15:25" x14ac:dyDescent="0.2">
      <c r="O100" s="59"/>
      <c r="T100" s="59"/>
      <c r="U100" s="59"/>
      <c r="V100" s="59"/>
      <c r="W100" s="59"/>
      <c r="X100" s="59"/>
      <c r="Y100" s="59"/>
    </row>
    <row r="101" spans="15:25" x14ac:dyDescent="0.2">
      <c r="O101" s="59"/>
      <c r="T101" s="59"/>
      <c r="U101" s="59"/>
      <c r="V101" s="59"/>
      <c r="W101" s="59"/>
      <c r="X101" s="59"/>
      <c r="Y101" s="59"/>
    </row>
    <row r="102" spans="15:25" x14ac:dyDescent="0.2">
      <c r="T102" s="59"/>
      <c r="U102" s="59"/>
      <c r="V102" s="59"/>
      <c r="W102" s="59"/>
      <c r="X102" s="59"/>
      <c r="Y102" s="59"/>
    </row>
    <row r="103" spans="15:25" x14ac:dyDescent="0.2">
      <c r="T103" s="59"/>
      <c r="U103" s="59"/>
      <c r="V103" s="59"/>
      <c r="W103" s="59"/>
      <c r="X103" s="59"/>
      <c r="Y103" s="59"/>
    </row>
    <row r="104" spans="15:25" x14ac:dyDescent="0.2">
      <c r="T104" s="59"/>
      <c r="U104" s="59"/>
      <c r="V104" s="59"/>
      <c r="W104" s="59"/>
      <c r="X104" s="59"/>
      <c r="Y104" s="59"/>
    </row>
  </sheetData>
  <sheetProtection algorithmName="SHA-512" hashValue="VJ+sidXEupRkO9/GyzuC5GBDDzr6Rvynk55ydwJRymOhYL8kG0ZU+IzFgfZtAhjj8PAZlIvnkw5AkjH2RzFzDQ==" saltValue="GQnvQI5WV1PPu8GT6UNJig==" spinCount="100000" sheet="1" sort="0"/>
  <protectedRanges>
    <protectedRange sqref="I37:I40 J54:L54 M8:M35 I43:I45 M43:M45 M37:M40 I8:I35" name="Bereich1"/>
  </protectedRanges>
  <customSheetViews>
    <customSheetView guid="{8595FB22-684A-40C6-BCB3-CF11C69F4546}" hiddenColumns="1" showRuler="0">
      <pane ySplit="7" topLeftCell="A8" activePane="bottomLeft" state="frozen"/>
      <selection pane="bottomLeft" activeCell="J28" sqref="J28"/>
      <rowBreaks count="1" manualBreakCount="1">
        <brk id="47" max="16383" man="1"/>
      </rowBreaks>
      <colBreaks count="1" manualBreakCount="1">
        <brk id="15" max="1048575" man="1"/>
      </colBreaks>
      <pageMargins left="0" right="0" top="0" bottom="0" header="0" footer="0"/>
      <pageSetup paperSize="9" scale="73" orientation="landscape" r:id="rId1"/>
      <headerFooter alignWithMargins="0">
        <oddFooter>&amp;RSeite 3 von 4</oddFooter>
      </headerFooter>
    </customSheetView>
  </customSheetViews>
  <mergeCells count="51">
    <mergeCell ref="A54:C54"/>
    <mergeCell ref="N4:N7"/>
    <mergeCell ref="C5:C7"/>
    <mergeCell ref="A4:B4"/>
    <mergeCell ref="P4:R6"/>
    <mergeCell ref="L50:L51"/>
    <mergeCell ref="M50:M51"/>
    <mergeCell ref="G4:H4"/>
    <mergeCell ref="C34:D35"/>
    <mergeCell ref="B5:B7"/>
    <mergeCell ref="K5:K7"/>
    <mergeCell ref="H5:H7"/>
    <mergeCell ref="E5:E7"/>
    <mergeCell ref="F5:F7"/>
    <mergeCell ref="G5:G7"/>
    <mergeCell ref="C4:D4"/>
    <mergeCell ref="M5:M7"/>
    <mergeCell ref="A1:J1"/>
    <mergeCell ref="A2:J2"/>
    <mergeCell ref="I5:I7"/>
    <mergeCell ref="J4:J7"/>
    <mergeCell ref="D5:D7"/>
    <mergeCell ref="L4:L7"/>
    <mergeCell ref="A3:N3"/>
    <mergeCell ref="A5:A7"/>
    <mergeCell ref="E4:F4"/>
    <mergeCell ref="P8:R8"/>
    <mergeCell ref="A47:A48"/>
    <mergeCell ref="K47:K48"/>
    <mergeCell ref="P10:R10"/>
    <mergeCell ref="P9:R9"/>
    <mergeCell ref="I28:M28"/>
    <mergeCell ref="A28:H28"/>
    <mergeCell ref="A29:H29"/>
    <mergeCell ref="Q44:S44"/>
    <mergeCell ref="A42:C42"/>
    <mergeCell ref="P13:S13"/>
    <mergeCell ref="J47:J48"/>
    <mergeCell ref="C47:I48"/>
    <mergeCell ref="N47:N48"/>
    <mergeCell ref="M47:M48"/>
    <mergeCell ref="P14:S33"/>
    <mergeCell ref="A50:A51"/>
    <mergeCell ref="Q43:S43"/>
    <mergeCell ref="L47:L48"/>
    <mergeCell ref="I29:M29"/>
    <mergeCell ref="Q45:S45"/>
    <mergeCell ref="C50:I51"/>
    <mergeCell ref="J50:J51"/>
    <mergeCell ref="N50:N51"/>
    <mergeCell ref="K50:K51"/>
  </mergeCells>
  <phoneticPr fontId="3" type="noConversion"/>
  <pageMargins left="0.39370078740157483" right="0.39370078740157483" top="0.78740157480314965" bottom="0.39370078740157483" header="0.51181102362204722" footer="0.11811023622047245"/>
  <pageSetup paperSize="9" scale="62" orientation="portrait" r:id="rId2"/>
  <headerFooter alignWithMargins="0">
    <oddFooter>&amp;C&amp;"Arial,Fett"Stand: April 2025</oddFooter>
  </headerFooter>
  <colBreaks count="1" manualBreakCount="1">
    <brk id="19" max="1048575" man="1"/>
  </colBreaks>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
  <sheetViews>
    <sheetView workbookViewId="0"/>
  </sheetViews>
  <sheetFormatPr baseColWidth="10" defaultColWidth="11.42578125" defaultRowHeight="12.75" x14ac:dyDescent="0.2"/>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1">
    <tabColor indexed="41"/>
    <pageSetUpPr fitToPage="1"/>
  </sheetPr>
  <dimension ref="A1:V100"/>
  <sheetViews>
    <sheetView zoomScaleNormal="100" workbookViewId="0">
      <selection activeCell="K9" sqref="K9:N11"/>
    </sheetView>
  </sheetViews>
  <sheetFormatPr baseColWidth="10" defaultColWidth="11.42578125" defaultRowHeight="12.75" x14ac:dyDescent="0.2"/>
  <cols>
    <col min="1" max="8" width="11.42578125" style="12"/>
    <col min="9" max="9" width="13.28515625" style="12" customWidth="1"/>
    <col min="10" max="13" width="11.42578125" style="12"/>
    <col min="14" max="14" width="12.28515625" style="12" customWidth="1"/>
    <col min="15" max="16384" width="11.42578125" style="12"/>
  </cols>
  <sheetData>
    <row r="1" spans="1:22" ht="16.5" thickBot="1" x14ac:dyDescent="0.3">
      <c r="A1" s="726" t="s">
        <v>8</v>
      </c>
      <c r="B1" s="727"/>
      <c r="C1" s="727"/>
      <c r="D1" s="727"/>
      <c r="E1" s="727"/>
      <c r="F1" s="727"/>
      <c r="G1" s="727"/>
      <c r="H1" s="727"/>
      <c r="I1" s="728"/>
      <c r="J1" s="59"/>
      <c r="K1" s="319" t="s">
        <v>237</v>
      </c>
      <c r="L1" s="59"/>
      <c r="M1" s="59"/>
      <c r="N1" s="59"/>
      <c r="O1" s="59"/>
      <c r="P1" s="59"/>
      <c r="Q1" s="59"/>
      <c r="R1" s="59"/>
      <c r="S1" s="59"/>
      <c r="T1" s="59"/>
      <c r="U1" s="59"/>
      <c r="V1" s="59"/>
    </row>
    <row r="2" spans="1:22" ht="13.5" customHeight="1" thickBot="1" x14ac:dyDescent="0.25">
      <c r="A2" s="692" t="s">
        <v>216</v>
      </c>
      <c r="B2" s="693"/>
      <c r="C2" s="693"/>
      <c r="D2" s="693"/>
      <c r="E2" s="693"/>
      <c r="F2" s="693"/>
      <c r="G2" s="693"/>
      <c r="H2" s="693"/>
      <c r="I2" s="651"/>
      <c r="J2" s="124"/>
      <c r="K2" s="686" t="s">
        <v>465</v>
      </c>
      <c r="L2" s="687"/>
      <c r="M2" s="687"/>
      <c r="N2" s="687"/>
      <c r="O2" s="687"/>
      <c r="P2" s="59"/>
      <c r="Q2" s="59"/>
      <c r="R2" s="59"/>
      <c r="S2" s="59"/>
      <c r="T2" s="59"/>
      <c r="U2" s="59"/>
      <c r="V2" s="59"/>
    </row>
    <row r="3" spans="1:22" ht="13.5" customHeight="1" thickBot="1" x14ac:dyDescent="0.25">
      <c r="A3" s="703" t="s">
        <v>278</v>
      </c>
      <c r="B3" s="729"/>
      <c r="C3" s="729"/>
      <c r="D3" s="704"/>
      <c r="E3" s="52"/>
      <c r="F3" s="703" t="s">
        <v>279</v>
      </c>
      <c r="G3" s="704"/>
      <c r="H3" s="53" t="s">
        <v>280</v>
      </c>
      <c r="I3" s="53" t="s">
        <v>281</v>
      </c>
      <c r="J3" s="124"/>
      <c r="K3" s="687"/>
      <c r="L3" s="687"/>
      <c r="M3" s="687"/>
      <c r="N3" s="687"/>
      <c r="O3" s="687"/>
      <c r="P3" s="59"/>
      <c r="Q3" s="59"/>
      <c r="R3" s="59"/>
      <c r="S3" s="59"/>
      <c r="T3" s="59"/>
      <c r="U3" s="59"/>
      <c r="V3" s="59"/>
    </row>
    <row r="4" spans="1:22" ht="12.75" customHeight="1" x14ac:dyDescent="0.2">
      <c r="A4" s="734"/>
      <c r="B4" s="735"/>
      <c r="C4" s="735"/>
      <c r="D4" s="736"/>
      <c r="E4" s="711" t="s">
        <v>282</v>
      </c>
      <c r="F4" s="714" t="s">
        <v>283</v>
      </c>
      <c r="G4" s="715"/>
      <c r="H4" s="720"/>
      <c r="I4" s="711" t="s">
        <v>284</v>
      </c>
      <c r="J4" s="59"/>
      <c r="K4" s="59"/>
      <c r="L4" s="59"/>
      <c r="M4" s="59"/>
      <c r="N4" s="59"/>
      <c r="O4" s="59"/>
      <c r="P4" s="59"/>
      <c r="Q4" s="59"/>
      <c r="R4" s="59"/>
      <c r="S4" s="59"/>
      <c r="T4" s="59"/>
      <c r="U4" s="59"/>
      <c r="V4" s="59"/>
    </row>
    <row r="5" spans="1:22" ht="12.75" customHeight="1" x14ac:dyDescent="0.2">
      <c r="A5" s="737"/>
      <c r="B5" s="738"/>
      <c r="C5" s="738"/>
      <c r="D5" s="739"/>
      <c r="E5" s="712"/>
      <c r="F5" s="716"/>
      <c r="G5" s="717"/>
      <c r="H5" s="721"/>
      <c r="I5" s="712"/>
      <c r="J5" s="59"/>
      <c r="K5" s="59"/>
      <c r="L5" s="59"/>
      <c r="M5" s="59"/>
      <c r="N5" s="59"/>
      <c r="O5" s="59"/>
      <c r="P5" s="59"/>
      <c r="Q5" s="59"/>
      <c r="R5" s="59"/>
      <c r="S5" s="59"/>
      <c r="T5" s="59"/>
      <c r="U5" s="59"/>
      <c r="V5" s="59"/>
    </row>
    <row r="6" spans="1:22" ht="13.5" customHeight="1" thickBot="1" x14ac:dyDescent="0.25">
      <c r="A6" s="740"/>
      <c r="B6" s="741"/>
      <c r="C6" s="741"/>
      <c r="D6" s="742"/>
      <c r="E6" s="713"/>
      <c r="F6" s="718"/>
      <c r="G6" s="719"/>
      <c r="H6" s="722"/>
      <c r="I6" s="713"/>
      <c r="J6" s="59"/>
      <c r="K6" s="689" t="s">
        <v>18</v>
      </c>
      <c r="L6" s="689"/>
      <c r="M6" s="689"/>
      <c r="N6" s="689"/>
      <c r="O6" s="59"/>
      <c r="P6" s="59"/>
      <c r="Q6" s="59"/>
      <c r="R6" s="59"/>
      <c r="S6" s="59"/>
      <c r="T6" s="59"/>
      <c r="U6" s="59"/>
      <c r="V6" s="59"/>
    </row>
    <row r="7" spans="1:22" ht="13.5" customHeight="1" thickBot="1" x14ac:dyDescent="0.25">
      <c r="A7" s="723" t="s">
        <v>285</v>
      </c>
      <c r="B7" s="724"/>
      <c r="C7" s="724"/>
      <c r="D7" s="725"/>
      <c r="E7" s="54"/>
      <c r="F7" s="705">
        <v>0</v>
      </c>
      <c r="G7" s="706"/>
      <c r="H7" s="56"/>
      <c r="I7" s="57">
        <f t="shared" ref="I7:I24" si="0">H7*F7</f>
        <v>0</v>
      </c>
      <c r="J7" s="59"/>
      <c r="K7" s="85" t="s">
        <v>286</v>
      </c>
      <c r="L7" s="85" t="s">
        <v>280</v>
      </c>
      <c r="M7" s="85" t="s">
        <v>287</v>
      </c>
      <c r="N7" s="85"/>
      <c r="O7" s="59"/>
      <c r="P7" s="59"/>
      <c r="Q7" s="59"/>
      <c r="R7" s="59"/>
      <c r="S7" s="59"/>
      <c r="T7" s="59"/>
      <c r="U7" s="59"/>
      <c r="V7" s="59"/>
    </row>
    <row r="8" spans="1:22" ht="13.5" customHeight="1" thickBot="1" x14ac:dyDescent="0.25">
      <c r="A8" s="723" t="s">
        <v>288</v>
      </c>
      <c r="B8" s="724"/>
      <c r="C8" s="724"/>
      <c r="D8" s="725"/>
      <c r="E8" s="54"/>
      <c r="F8" s="705">
        <v>0</v>
      </c>
      <c r="G8" s="706"/>
      <c r="H8" s="58"/>
      <c r="I8" s="57">
        <f t="shared" si="0"/>
        <v>0</v>
      </c>
      <c r="J8" s="59"/>
      <c r="K8" s="85">
        <v>25</v>
      </c>
      <c r="L8" s="85">
        <v>40.1</v>
      </c>
      <c r="M8" s="691">
        <f>L8*K8</f>
        <v>1002.5</v>
      </c>
      <c r="N8" s="691"/>
      <c r="O8" s="59"/>
      <c r="P8" s="59"/>
      <c r="Q8" s="59"/>
      <c r="R8" s="59"/>
      <c r="S8" s="59"/>
      <c r="T8" s="59"/>
      <c r="U8" s="59"/>
      <c r="V8" s="59"/>
    </row>
    <row r="9" spans="1:22" ht="13.5" thickBot="1" x14ac:dyDescent="0.25">
      <c r="A9" s="723" t="s">
        <v>289</v>
      </c>
      <c r="B9" s="724"/>
      <c r="C9" s="724"/>
      <c r="D9" s="725"/>
      <c r="E9" s="54"/>
      <c r="F9" s="705">
        <v>0</v>
      </c>
      <c r="G9" s="706"/>
      <c r="H9" s="58"/>
      <c r="I9" s="57">
        <f t="shared" si="0"/>
        <v>0</v>
      </c>
      <c r="J9" s="59"/>
      <c r="K9" s="690" t="s">
        <v>290</v>
      </c>
      <c r="L9" s="690"/>
      <c r="M9" s="690"/>
      <c r="N9" s="690"/>
      <c r="O9" s="59"/>
      <c r="P9" s="59"/>
      <c r="Q9" s="59"/>
      <c r="R9" s="59"/>
      <c r="S9" s="59"/>
      <c r="T9" s="59"/>
      <c r="U9" s="59"/>
      <c r="V9" s="59"/>
    </row>
    <row r="10" spans="1:22" ht="13.5" thickBot="1" x14ac:dyDescent="0.25">
      <c r="A10" s="723" t="s">
        <v>291</v>
      </c>
      <c r="B10" s="724"/>
      <c r="C10" s="724"/>
      <c r="D10" s="725"/>
      <c r="E10" s="54"/>
      <c r="F10" s="705">
        <v>0</v>
      </c>
      <c r="G10" s="706"/>
      <c r="H10" s="58"/>
      <c r="I10" s="57">
        <f t="shared" si="0"/>
        <v>0</v>
      </c>
      <c r="J10" s="59"/>
      <c r="K10" s="690"/>
      <c r="L10" s="690"/>
      <c r="M10" s="690"/>
      <c r="N10" s="690"/>
      <c r="O10" s="59"/>
      <c r="P10" s="59"/>
      <c r="Q10" s="59"/>
      <c r="R10" s="59"/>
      <c r="S10" s="59"/>
      <c r="T10" s="59"/>
      <c r="U10" s="59"/>
      <c r="V10" s="59"/>
    </row>
    <row r="11" spans="1:22" ht="13.5" thickBot="1" x14ac:dyDescent="0.25">
      <c r="A11" s="723" t="s">
        <v>292</v>
      </c>
      <c r="B11" s="724"/>
      <c r="C11" s="724"/>
      <c r="D11" s="725"/>
      <c r="E11" s="54"/>
      <c r="F11" s="705">
        <v>0</v>
      </c>
      <c r="G11" s="706"/>
      <c r="H11" s="58"/>
      <c r="I11" s="57">
        <f t="shared" si="0"/>
        <v>0</v>
      </c>
      <c r="J11" s="59"/>
      <c r="K11" s="690"/>
      <c r="L11" s="690"/>
      <c r="M11" s="690"/>
      <c r="N11" s="690"/>
      <c r="O11" s="59"/>
      <c r="P11" s="59"/>
      <c r="Q11" s="59"/>
      <c r="R11" s="59"/>
      <c r="S11" s="59"/>
      <c r="T11" s="59"/>
      <c r="U11" s="59"/>
      <c r="V11" s="59"/>
    </row>
    <row r="12" spans="1:22" ht="13.5" thickBot="1" x14ac:dyDescent="0.25">
      <c r="A12" s="723" t="s">
        <v>293</v>
      </c>
      <c r="B12" s="724"/>
      <c r="C12" s="724"/>
      <c r="D12" s="725"/>
      <c r="E12" s="54"/>
      <c r="F12" s="705">
        <v>0</v>
      </c>
      <c r="G12" s="706"/>
      <c r="H12" s="56"/>
      <c r="I12" s="57">
        <f t="shared" si="0"/>
        <v>0</v>
      </c>
      <c r="J12" s="59"/>
      <c r="K12" s="59"/>
      <c r="L12" s="59"/>
      <c r="M12" s="59"/>
      <c r="N12" s="59"/>
      <c r="O12" s="59"/>
      <c r="P12" s="59"/>
      <c r="Q12" s="59"/>
      <c r="R12" s="59"/>
      <c r="S12" s="59"/>
      <c r="T12" s="59"/>
      <c r="U12" s="59"/>
      <c r="V12" s="59"/>
    </row>
    <row r="13" spans="1:22" ht="13.5" thickBot="1" x14ac:dyDescent="0.25">
      <c r="A13" s="723" t="s">
        <v>294</v>
      </c>
      <c r="B13" s="724"/>
      <c r="C13" s="724"/>
      <c r="D13" s="725"/>
      <c r="E13" s="54"/>
      <c r="F13" s="705">
        <v>0</v>
      </c>
      <c r="G13" s="706"/>
      <c r="H13" s="58"/>
      <c r="I13" s="57">
        <f t="shared" si="0"/>
        <v>0</v>
      </c>
      <c r="J13" s="59"/>
      <c r="K13" s="59"/>
      <c r="L13" s="59"/>
      <c r="M13" s="59"/>
      <c r="N13" s="59"/>
      <c r="O13" s="59"/>
      <c r="P13" s="59"/>
      <c r="Q13" s="59"/>
      <c r="R13" s="59"/>
      <c r="S13" s="59"/>
      <c r="T13" s="59"/>
      <c r="U13" s="59"/>
      <c r="V13" s="59"/>
    </row>
    <row r="14" spans="1:22" ht="13.5" thickBot="1" x14ac:dyDescent="0.25">
      <c r="A14" s="723" t="s">
        <v>295</v>
      </c>
      <c r="B14" s="724"/>
      <c r="C14" s="724"/>
      <c r="D14" s="725"/>
      <c r="E14" s="54"/>
      <c r="F14" s="705">
        <v>0</v>
      </c>
      <c r="G14" s="706"/>
      <c r="H14" s="56"/>
      <c r="I14" s="57">
        <f t="shared" si="0"/>
        <v>0</v>
      </c>
      <c r="J14" s="59"/>
      <c r="K14" s="688" t="s">
        <v>296</v>
      </c>
      <c r="L14" s="686"/>
      <c r="M14" s="686"/>
      <c r="N14" s="686"/>
      <c r="O14" s="59"/>
      <c r="P14" s="59"/>
      <c r="Q14" s="59"/>
      <c r="R14" s="59"/>
      <c r="S14" s="59"/>
      <c r="T14" s="59"/>
      <c r="U14" s="59"/>
      <c r="V14" s="59"/>
    </row>
    <row r="15" spans="1:22" ht="13.5" thickBot="1" x14ac:dyDescent="0.25">
      <c r="A15" s="723" t="s">
        <v>297</v>
      </c>
      <c r="B15" s="724"/>
      <c r="C15" s="724"/>
      <c r="D15" s="725"/>
      <c r="E15" s="54"/>
      <c r="F15" s="705">
        <v>0</v>
      </c>
      <c r="G15" s="706"/>
      <c r="H15" s="58"/>
      <c r="I15" s="57">
        <f t="shared" si="0"/>
        <v>0</v>
      </c>
      <c r="J15" s="59"/>
      <c r="K15" s="686"/>
      <c r="L15" s="686"/>
      <c r="M15" s="686"/>
      <c r="N15" s="686"/>
      <c r="O15" s="59"/>
      <c r="P15" s="59"/>
      <c r="Q15" s="59"/>
      <c r="R15" s="59"/>
      <c r="S15" s="59"/>
      <c r="T15" s="59"/>
      <c r="U15" s="59"/>
      <c r="V15" s="59"/>
    </row>
    <row r="16" spans="1:22" ht="13.5" thickBot="1" x14ac:dyDescent="0.25">
      <c r="A16" s="723" t="s">
        <v>298</v>
      </c>
      <c r="B16" s="724"/>
      <c r="C16" s="724"/>
      <c r="D16" s="725"/>
      <c r="E16" s="54"/>
      <c r="F16" s="705">
        <v>0</v>
      </c>
      <c r="G16" s="706"/>
      <c r="H16" s="56"/>
      <c r="I16" s="57">
        <f t="shared" si="0"/>
        <v>0</v>
      </c>
      <c r="J16" s="59"/>
      <c r="K16" s="686"/>
      <c r="L16" s="686"/>
      <c r="M16" s="686"/>
      <c r="N16" s="686"/>
      <c r="O16" s="59"/>
      <c r="P16" s="59"/>
      <c r="Q16" s="59"/>
      <c r="R16" s="59"/>
      <c r="S16" s="59"/>
      <c r="T16" s="59"/>
      <c r="U16" s="59"/>
      <c r="V16" s="59"/>
    </row>
    <row r="17" spans="1:22" ht="13.5" thickBot="1" x14ac:dyDescent="0.25">
      <c r="A17" s="723" t="s">
        <v>299</v>
      </c>
      <c r="B17" s="724"/>
      <c r="C17" s="724"/>
      <c r="D17" s="725"/>
      <c r="E17" s="54"/>
      <c r="F17" s="705">
        <v>0</v>
      </c>
      <c r="G17" s="706"/>
      <c r="H17" s="58"/>
      <c r="I17" s="57">
        <f t="shared" si="0"/>
        <v>0</v>
      </c>
      <c r="J17" s="59"/>
      <c r="K17" s="686"/>
      <c r="L17" s="686"/>
      <c r="M17" s="686"/>
      <c r="N17" s="686"/>
      <c r="O17" s="59"/>
      <c r="P17" s="59"/>
      <c r="Q17" s="59"/>
      <c r="R17" s="59"/>
      <c r="S17" s="59"/>
      <c r="T17" s="59"/>
      <c r="U17" s="59"/>
      <c r="V17" s="59"/>
    </row>
    <row r="18" spans="1:22" ht="13.5" thickBot="1" x14ac:dyDescent="0.25">
      <c r="A18" s="723" t="s">
        <v>300</v>
      </c>
      <c r="B18" s="724"/>
      <c r="C18" s="724"/>
      <c r="D18" s="725"/>
      <c r="E18" s="54"/>
      <c r="F18" s="705">
        <v>0</v>
      </c>
      <c r="G18" s="706"/>
      <c r="H18" s="56"/>
      <c r="I18" s="57">
        <f t="shared" si="0"/>
        <v>0</v>
      </c>
      <c r="J18" s="59"/>
      <c r="K18" s="686"/>
      <c r="L18" s="686"/>
      <c r="M18" s="686"/>
      <c r="N18" s="686"/>
      <c r="O18" s="59"/>
      <c r="P18" s="59"/>
      <c r="Q18" s="59"/>
      <c r="R18" s="59"/>
      <c r="S18" s="59"/>
      <c r="T18" s="59"/>
      <c r="U18" s="59"/>
      <c r="V18" s="59"/>
    </row>
    <row r="19" spans="1:22" ht="13.5" thickBot="1" x14ac:dyDescent="0.25">
      <c r="A19" s="723" t="s">
        <v>301</v>
      </c>
      <c r="B19" s="724"/>
      <c r="C19" s="724"/>
      <c r="D19" s="725"/>
      <c r="E19" s="54"/>
      <c r="F19" s="705">
        <v>0</v>
      </c>
      <c r="G19" s="706"/>
      <c r="H19" s="58"/>
      <c r="I19" s="57">
        <f t="shared" si="0"/>
        <v>0</v>
      </c>
      <c r="J19" s="59"/>
      <c r="K19" s="686"/>
      <c r="L19" s="686"/>
      <c r="M19" s="686"/>
      <c r="N19" s="686"/>
      <c r="O19" s="59"/>
      <c r="P19" s="59"/>
      <c r="Q19" s="59"/>
      <c r="R19" s="59"/>
      <c r="S19" s="59"/>
      <c r="T19" s="59"/>
      <c r="U19" s="59"/>
      <c r="V19" s="59"/>
    </row>
    <row r="20" spans="1:22" ht="13.5" thickBot="1" x14ac:dyDescent="0.25">
      <c r="A20" s="723" t="s">
        <v>302</v>
      </c>
      <c r="B20" s="724"/>
      <c r="C20" s="724"/>
      <c r="D20" s="725"/>
      <c r="E20" s="54"/>
      <c r="F20" s="705">
        <v>0</v>
      </c>
      <c r="G20" s="706"/>
      <c r="H20" s="56"/>
      <c r="I20" s="57">
        <f t="shared" si="0"/>
        <v>0</v>
      </c>
      <c r="J20" s="59"/>
      <c r="K20" s="686"/>
      <c r="L20" s="686"/>
      <c r="M20" s="686"/>
      <c r="N20" s="686"/>
      <c r="O20" s="59"/>
      <c r="P20" s="59"/>
      <c r="Q20" s="59"/>
      <c r="R20" s="59"/>
      <c r="S20" s="59"/>
      <c r="T20" s="59"/>
      <c r="U20" s="59"/>
      <c r="V20" s="59"/>
    </row>
    <row r="21" spans="1:22" ht="13.5" thickBot="1" x14ac:dyDescent="0.25">
      <c r="A21" s="723" t="s">
        <v>303</v>
      </c>
      <c r="B21" s="724"/>
      <c r="C21" s="724"/>
      <c r="D21" s="725"/>
      <c r="E21" s="54"/>
      <c r="F21" s="705">
        <v>0</v>
      </c>
      <c r="G21" s="706"/>
      <c r="H21" s="58"/>
      <c r="I21" s="57">
        <f t="shared" si="0"/>
        <v>0</v>
      </c>
      <c r="J21" s="59"/>
      <c r="K21" s="59"/>
      <c r="L21" s="59"/>
      <c r="M21" s="59"/>
      <c r="N21" s="59"/>
      <c r="O21" s="59"/>
      <c r="P21" s="59"/>
      <c r="Q21" s="59"/>
      <c r="R21" s="59"/>
      <c r="S21" s="59"/>
      <c r="T21" s="59"/>
      <c r="U21" s="59"/>
      <c r="V21" s="59"/>
    </row>
    <row r="22" spans="1:22" ht="13.5" thickBot="1" x14ac:dyDescent="0.25">
      <c r="A22" s="723" t="s">
        <v>304</v>
      </c>
      <c r="B22" s="724"/>
      <c r="C22" s="724"/>
      <c r="D22" s="725"/>
      <c r="E22" s="54"/>
      <c r="F22" s="705">
        <v>0</v>
      </c>
      <c r="G22" s="706"/>
      <c r="H22" s="56"/>
      <c r="I22" s="57">
        <f t="shared" si="0"/>
        <v>0</v>
      </c>
      <c r="J22" s="59"/>
      <c r="K22" s="562"/>
      <c r="L22" s="562"/>
      <c r="M22" s="562"/>
      <c r="N22" s="562"/>
      <c r="O22" s="59"/>
      <c r="P22" s="59"/>
      <c r="Q22" s="59"/>
      <c r="R22" s="59"/>
      <c r="S22" s="59"/>
      <c r="T22" s="59"/>
      <c r="U22" s="59"/>
      <c r="V22" s="59"/>
    </row>
    <row r="23" spans="1:22" ht="13.5" customHeight="1" thickBot="1" x14ac:dyDescent="0.25">
      <c r="A23" s="723" t="s">
        <v>305</v>
      </c>
      <c r="B23" s="724"/>
      <c r="C23" s="724"/>
      <c r="D23" s="725"/>
      <c r="E23" s="54"/>
      <c r="F23" s="705">
        <v>0</v>
      </c>
      <c r="G23" s="706"/>
      <c r="H23" s="58"/>
      <c r="I23" s="57">
        <f t="shared" si="0"/>
        <v>0</v>
      </c>
      <c r="J23" s="59"/>
      <c r="K23" s="694" t="s">
        <v>461</v>
      </c>
      <c r="L23" s="695"/>
      <c r="M23" s="695"/>
      <c r="N23" s="696"/>
      <c r="O23" s="59"/>
      <c r="P23" s="59"/>
      <c r="Q23" s="59"/>
      <c r="R23" s="59"/>
      <c r="S23" s="59"/>
      <c r="T23" s="59"/>
      <c r="U23" s="59"/>
      <c r="V23" s="59"/>
    </row>
    <row r="24" spans="1:22" ht="13.5" customHeight="1" thickBot="1" x14ac:dyDescent="0.25">
      <c r="A24" s="723" t="s">
        <v>306</v>
      </c>
      <c r="B24" s="724"/>
      <c r="C24" s="724"/>
      <c r="D24" s="725"/>
      <c r="E24" s="54"/>
      <c r="F24" s="705">
        <v>0</v>
      </c>
      <c r="G24" s="706"/>
      <c r="H24" s="58"/>
      <c r="I24" s="57">
        <f t="shared" si="0"/>
        <v>0</v>
      </c>
      <c r="J24" s="59"/>
      <c r="K24" s="697"/>
      <c r="L24" s="698"/>
      <c r="M24" s="698"/>
      <c r="N24" s="699"/>
      <c r="O24" s="59"/>
      <c r="P24" s="59"/>
      <c r="Q24" s="59"/>
      <c r="R24" s="59"/>
      <c r="S24" s="59"/>
      <c r="T24" s="59"/>
      <c r="U24" s="59"/>
      <c r="V24" s="59"/>
    </row>
    <row r="25" spans="1:22" ht="15.75" customHeight="1" x14ac:dyDescent="0.2">
      <c r="A25" s="707" t="s">
        <v>307</v>
      </c>
      <c r="B25" s="708"/>
      <c r="C25" s="708"/>
      <c r="D25" s="732"/>
      <c r="E25" s="122"/>
      <c r="F25" s="707" t="s">
        <v>273</v>
      </c>
      <c r="G25" s="708"/>
      <c r="H25" s="708"/>
      <c r="I25" s="730">
        <f>SUM(I7:I24)</f>
        <v>0</v>
      </c>
      <c r="J25" s="59"/>
      <c r="K25" s="697"/>
      <c r="L25" s="698"/>
      <c r="M25" s="698"/>
      <c r="N25" s="699"/>
      <c r="O25" s="59"/>
      <c r="P25" s="59"/>
      <c r="Q25" s="59"/>
      <c r="R25" s="59"/>
      <c r="S25" s="59"/>
      <c r="T25" s="59"/>
      <c r="U25" s="59"/>
      <c r="V25" s="59"/>
    </row>
    <row r="26" spans="1:22" ht="16.5" thickBot="1" x14ac:dyDescent="0.25">
      <c r="A26" s="709"/>
      <c r="B26" s="710"/>
      <c r="C26" s="710"/>
      <c r="D26" s="733"/>
      <c r="E26" s="123"/>
      <c r="F26" s="709"/>
      <c r="G26" s="710"/>
      <c r="H26" s="710"/>
      <c r="I26" s="731"/>
      <c r="J26" s="59"/>
      <c r="K26" s="700"/>
      <c r="L26" s="701"/>
      <c r="M26" s="701"/>
      <c r="N26" s="702"/>
      <c r="O26" s="59"/>
      <c r="P26" s="59"/>
      <c r="Q26" s="59"/>
      <c r="R26" s="59"/>
      <c r="S26" s="59"/>
      <c r="T26" s="59"/>
      <c r="U26" s="59"/>
      <c r="V26" s="59"/>
    </row>
    <row r="27" spans="1:22" x14ac:dyDescent="0.2">
      <c r="A27" s="59"/>
      <c r="B27" s="59"/>
      <c r="C27" s="59"/>
      <c r="D27" s="59"/>
      <c r="E27" s="59"/>
      <c r="F27" s="59"/>
      <c r="G27" s="59"/>
      <c r="H27" s="59"/>
      <c r="I27" s="59"/>
      <c r="J27" s="59"/>
      <c r="K27" s="685"/>
      <c r="L27" s="685"/>
      <c r="M27" s="685"/>
      <c r="N27" s="685"/>
      <c r="O27" s="59"/>
      <c r="P27" s="59"/>
      <c r="Q27" s="59"/>
      <c r="R27" s="59"/>
      <c r="S27" s="59"/>
      <c r="T27" s="59"/>
      <c r="U27" s="59"/>
      <c r="V27" s="59"/>
    </row>
    <row r="28" spans="1:22" x14ac:dyDescent="0.2">
      <c r="A28" s="59"/>
      <c r="B28" s="59"/>
      <c r="C28" s="59"/>
      <c r="D28" s="59"/>
      <c r="E28" s="59"/>
      <c r="F28" s="59"/>
      <c r="G28" s="59"/>
      <c r="H28" s="59"/>
      <c r="I28" s="59"/>
      <c r="J28" s="59"/>
      <c r="K28" s="137"/>
      <c r="L28" s="137"/>
      <c r="M28" s="137"/>
      <c r="N28" s="137"/>
      <c r="O28" s="59"/>
      <c r="P28" s="59"/>
      <c r="Q28" s="59"/>
      <c r="R28" s="59"/>
      <c r="S28" s="59"/>
      <c r="T28" s="59"/>
      <c r="U28" s="59"/>
      <c r="V28" s="59"/>
    </row>
    <row r="29" spans="1:22" x14ac:dyDescent="0.2">
      <c r="A29" s="59"/>
      <c r="B29" s="59"/>
      <c r="C29" s="59"/>
      <c r="D29" s="59"/>
      <c r="E29" s="59"/>
      <c r="F29" s="59"/>
      <c r="G29" s="59"/>
      <c r="H29" s="59"/>
      <c r="I29" s="59"/>
      <c r="J29" s="59"/>
      <c r="K29" s="326" t="s">
        <v>276</v>
      </c>
      <c r="L29" s="327"/>
      <c r="M29" s="327"/>
      <c r="N29" s="340"/>
      <c r="O29" s="59"/>
      <c r="P29" s="59"/>
      <c r="Q29" s="59"/>
      <c r="R29" s="59"/>
      <c r="S29" s="59"/>
      <c r="T29" s="59"/>
      <c r="U29" s="59"/>
      <c r="V29" s="59"/>
    </row>
    <row r="30" spans="1:22" x14ac:dyDescent="0.2">
      <c r="A30" s="59"/>
      <c r="B30" s="127"/>
      <c r="C30" s="59"/>
      <c r="D30" s="59"/>
      <c r="E30" s="59"/>
      <c r="F30" s="59"/>
      <c r="G30" s="59"/>
      <c r="H30" s="127"/>
      <c r="I30" s="127"/>
      <c r="J30" s="59"/>
      <c r="K30" s="328" t="s">
        <v>7</v>
      </c>
      <c r="L30" s="329"/>
      <c r="M30" s="329"/>
      <c r="N30" s="341"/>
      <c r="O30" s="59"/>
      <c r="P30" s="59"/>
      <c r="Q30" s="59"/>
      <c r="R30" s="59"/>
      <c r="S30" s="59"/>
      <c r="T30" s="59"/>
      <c r="U30" s="59"/>
      <c r="V30" s="59"/>
    </row>
    <row r="31" spans="1:22" x14ac:dyDescent="0.2">
      <c r="A31" s="59"/>
      <c r="B31" s="59"/>
      <c r="C31" s="59"/>
      <c r="D31" s="59"/>
      <c r="E31" s="59"/>
      <c r="F31" s="59"/>
      <c r="G31" s="59"/>
      <c r="H31" s="59"/>
      <c r="I31" s="59"/>
      <c r="J31" s="59"/>
      <c r="K31" s="330" t="s">
        <v>8</v>
      </c>
      <c r="L31" s="331"/>
      <c r="M31" s="331"/>
      <c r="N31" s="342"/>
      <c r="O31" s="59"/>
      <c r="P31" s="59"/>
      <c r="Q31" s="59"/>
      <c r="R31" s="59"/>
      <c r="S31" s="59"/>
      <c r="T31" s="59"/>
      <c r="U31" s="59"/>
      <c r="V31" s="59"/>
    </row>
    <row r="32" spans="1:22" x14ac:dyDescent="0.2">
      <c r="A32" s="59"/>
      <c r="B32" s="59"/>
      <c r="C32" s="59"/>
      <c r="D32" s="59"/>
      <c r="E32" s="59"/>
      <c r="F32" s="59"/>
      <c r="G32" s="59"/>
      <c r="H32" s="59"/>
      <c r="I32" s="59"/>
      <c r="J32" s="59"/>
      <c r="K32" s="330" t="s">
        <v>9</v>
      </c>
      <c r="L32" s="331"/>
      <c r="M32" s="331"/>
      <c r="N32" s="321"/>
      <c r="O32" s="59"/>
      <c r="P32" s="59"/>
      <c r="Q32" s="59"/>
      <c r="R32" s="59"/>
      <c r="S32" s="59"/>
      <c r="T32" s="59"/>
      <c r="U32" s="59"/>
      <c r="V32" s="59"/>
    </row>
    <row r="33" spans="1:22" x14ac:dyDescent="0.2">
      <c r="A33" s="59"/>
      <c r="B33" s="59"/>
      <c r="C33" s="59"/>
      <c r="D33" s="59"/>
      <c r="E33" s="59"/>
      <c r="F33" s="59"/>
      <c r="G33" s="59"/>
      <c r="H33" s="59"/>
      <c r="I33" s="59"/>
      <c r="J33" s="59"/>
      <c r="K33" s="330" t="s">
        <v>277</v>
      </c>
      <c r="L33" s="331"/>
      <c r="M33" s="331"/>
      <c r="N33" s="321"/>
      <c r="O33" s="59"/>
      <c r="P33" s="59"/>
      <c r="Q33" s="59"/>
      <c r="R33" s="59"/>
      <c r="S33" s="59"/>
      <c r="T33" s="59"/>
      <c r="U33" s="59"/>
      <c r="V33" s="59"/>
    </row>
    <row r="34" spans="1:22" x14ac:dyDescent="0.2">
      <c r="A34" s="59"/>
      <c r="B34" s="59"/>
      <c r="C34" s="59"/>
      <c r="D34" s="59"/>
      <c r="E34" s="59"/>
      <c r="F34" s="59"/>
      <c r="G34" s="59"/>
      <c r="H34" s="59"/>
      <c r="I34" s="59"/>
      <c r="J34" s="59"/>
      <c r="K34" s="330" t="s">
        <v>11</v>
      </c>
      <c r="L34" s="331"/>
      <c r="M34" s="331"/>
      <c r="N34" s="321"/>
      <c r="O34" s="59"/>
      <c r="P34" s="59"/>
      <c r="Q34" s="59"/>
      <c r="R34" s="59"/>
      <c r="S34" s="59"/>
      <c r="T34" s="59"/>
      <c r="U34" s="59"/>
      <c r="V34" s="59"/>
    </row>
    <row r="35" spans="1:22" x14ac:dyDescent="0.2">
      <c r="A35" s="59"/>
      <c r="B35" s="59"/>
      <c r="C35" s="59"/>
      <c r="D35" s="59"/>
      <c r="E35" s="59"/>
      <c r="F35" s="59"/>
      <c r="G35" s="59"/>
      <c r="H35" s="59"/>
      <c r="I35" s="59"/>
      <c r="J35" s="59"/>
      <c r="K35" s="332" t="s">
        <v>15</v>
      </c>
      <c r="L35" s="333"/>
      <c r="M35" s="333"/>
      <c r="N35" s="322"/>
      <c r="O35" s="59"/>
      <c r="P35" s="59"/>
      <c r="Q35" s="59"/>
      <c r="R35" s="59"/>
      <c r="S35" s="59"/>
      <c r="T35" s="59"/>
      <c r="U35" s="59"/>
      <c r="V35" s="59"/>
    </row>
    <row r="36" spans="1:22" x14ac:dyDescent="0.2">
      <c r="A36" s="59"/>
      <c r="B36" s="59"/>
      <c r="C36" s="59"/>
      <c r="D36" s="59"/>
      <c r="E36" s="59"/>
      <c r="F36" s="59"/>
      <c r="G36" s="59"/>
      <c r="H36" s="59"/>
      <c r="I36" s="59"/>
      <c r="J36" s="59"/>
      <c r="K36" s="59"/>
      <c r="L36" s="59"/>
      <c r="M36" s="59"/>
      <c r="N36" s="59"/>
      <c r="O36" s="59"/>
      <c r="P36" s="59"/>
      <c r="Q36" s="59"/>
      <c r="R36" s="59"/>
      <c r="S36" s="59"/>
      <c r="T36" s="59"/>
      <c r="U36" s="59"/>
      <c r="V36" s="59"/>
    </row>
    <row r="37" spans="1:22" x14ac:dyDescent="0.2">
      <c r="A37" s="59"/>
      <c r="B37" s="59"/>
      <c r="C37" s="59"/>
      <c r="D37" s="59"/>
      <c r="E37" s="59"/>
      <c r="F37" s="59"/>
      <c r="G37" s="59"/>
      <c r="H37" s="59"/>
      <c r="I37" s="59"/>
      <c r="J37" s="59"/>
      <c r="K37" s="59"/>
      <c r="L37" s="59"/>
      <c r="M37" s="59"/>
      <c r="N37" s="59"/>
      <c r="O37" s="59"/>
      <c r="P37" s="59"/>
      <c r="Q37" s="59"/>
      <c r="R37" s="59"/>
      <c r="S37" s="59"/>
      <c r="T37" s="59"/>
      <c r="U37" s="59"/>
      <c r="V37" s="59"/>
    </row>
    <row r="38" spans="1:22" x14ac:dyDescent="0.2">
      <c r="A38" s="59"/>
      <c r="B38" s="59"/>
      <c r="C38" s="59"/>
      <c r="D38" s="59"/>
      <c r="E38" s="59"/>
      <c r="F38" s="59"/>
      <c r="G38" s="59"/>
      <c r="H38" s="59"/>
      <c r="I38" s="59"/>
      <c r="J38" s="59"/>
      <c r="K38" s="59"/>
      <c r="L38" s="59"/>
      <c r="M38" s="59"/>
      <c r="N38" s="59"/>
      <c r="O38" s="59"/>
      <c r="P38" s="59"/>
      <c r="Q38" s="59"/>
      <c r="R38" s="59"/>
      <c r="S38" s="59"/>
      <c r="T38" s="59"/>
      <c r="U38" s="59"/>
      <c r="V38" s="59"/>
    </row>
    <row r="39" spans="1:22" x14ac:dyDescent="0.2">
      <c r="A39" s="59"/>
      <c r="B39" s="59"/>
      <c r="C39" s="59"/>
      <c r="D39" s="59"/>
      <c r="E39" s="59"/>
      <c r="F39" s="59"/>
      <c r="G39" s="59"/>
      <c r="H39" s="59"/>
      <c r="I39" s="59"/>
      <c r="J39" s="59"/>
      <c r="K39" s="59"/>
      <c r="L39" s="59"/>
      <c r="M39" s="59"/>
      <c r="N39" s="59"/>
      <c r="O39" s="59"/>
      <c r="P39" s="59"/>
      <c r="Q39" s="59"/>
      <c r="R39" s="59"/>
      <c r="S39" s="59"/>
      <c r="T39" s="59"/>
      <c r="U39" s="59"/>
      <c r="V39" s="59"/>
    </row>
    <row r="40" spans="1:22" x14ac:dyDescent="0.2">
      <c r="A40" s="59"/>
      <c r="B40" s="59"/>
      <c r="C40" s="59"/>
      <c r="D40" s="59"/>
      <c r="E40" s="59"/>
      <c r="F40" s="59"/>
      <c r="G40" s="59"/>
      <c r="H40" s="59"/>
      <c r="I40" s="59"/>
      <c r="J40" s="59"/>
      <c r="K40" s="59"/>
      <c r="L40" s="59"/>
      <c r="M40" s="59"/>
      <c r="N40" s="125"/>
      <c r="O40" s="59"/>
      <c r="P40" s="59"/>
      <c r="Q40" s="59"/>
      <c r="R40" s="59"/>
      <c r="S40" s="59"/>
      <c r="T40" s="59"/>
      <c r="U40" s="59"/>
      <c r="V40" s="59"/>
    </row>
    <row r="41" spans="1:22" x14ac:dyDescent="0.2">
      <c r="A41" s="59"/>
      <c r="B41" s="59"/>
      <c r="C41" s="59"/>
      <c r="D41" s="59"/>
      <c r="E41" s="59"/>
      <c r="F41" s="59"/>
      <c r="G41" s="59"/>
      <c r="H41" s="128"/>
      <c r="I41" s="59"/>
      <c r="J41" s="59"/>
      <c r="K41" s="59"/>
      <c r="L41" s="59"/>
      <c r="M41" s="59"/>
      <c r="N41" s="59"/>
      <c r="O41" s="59"/>
      <c r="P41" s="59"/>
      <c r="Q41" s="59"/>
      <c r="R41" s="59"/>
      <c r="S41" s="59"/>
      <c r="T41" s="59"/>
      <c r="U41" s="59"/>
      <c r="V41" s="59"/>
    </row>
    <row r="42" spans="1:22" x14ac:dyDescent="0.2">
      <c r="A42" s="59"/>
      <c r="B42" s="59"/>
      <c r="C42" s="59"/>
      <c r="D42" s="59"/>
      <c r="E42" s="59"/>
      <c r="F42" s="59"/>
      <c r="G42" s="59"/>
      <c r="H42" s="128"/>
      <c r="I42" s="59"/>
      <c r="J42" s="59"/>
      <c r="K42" s="59"/>
      <c r="L42" s="126"/>
      <c r="M42" s="59"/>
      <c r="N42" s="59"/>
      <c r="O42" s="59"/>
      <c r="P42" s="59"/>
      <c r="Q42" s="59"/>
      <c r="R42" s="59"/>
      <c r="S42" s="59"/>
      <c r="T42" s="59"/>
      <c r="U42" s="59"/>
      <c r="V42" s="59"/>
    </row>
    <row r="43" spans="1:22" x14ac:dyDescent="0.2">
      <c r="A43" s="59"/>
      <c r="B43" s="59"/>
      <c r="C43" s="59"/>
      <c r="D43" s="59"/>
      <c r="E43" s="59"/>
      <c r="F43" s="59"/>
      <c r="G43" s="59"/>
      <c r="H43" s="128"/>
      <c r="I43" s="59"/>
      <c r="J43" s="59"/>
      <c r="K43" s="59"/>
      <c r="L43" s="59"/>
      <c r="M43" s="59"/>
      <c r="N43" s="59"/>
      <c r="O43" s="59"/>
      <c r="P43" s="59"/>
      <c r="Q43" s="59"/>
      <c r="R43" s="59"/>
      <c r="S43" s="59"/>
      <c r="T43" s="59"/>
      <c r="U43" s="59"/>
      <c r="V43" s="59"/>
    </row>
    <row r="44" spans="1:22" x14ac:dyDescent="0.2">
      <c r="A44" s="59"/>
      <c r="B44" s="59"/>
      <c r="C44" s="59"/>
      <c r="D44" s="59"/>
      <c r="E44" s="59"/>
      <c r="F44" s="59"/>
      <c r="G44" s="59"/>
      <c r="H44" s="128"/>
      <c r="I44" s="59"/>
      <c r="J44" s="59"/>
      <c r="K44" s="59"/>
      <c r="L44" s="59"/>
      <c r="M44" s="59"/>
      <c r="N44" s="59"/>
      <c r="O44" s="59"/>
      <c r="P44" s="59"/>
      <c r="Q44" s="59"/>
      <c r="R44" s="59"/>
      <c r="S44" s="59"/>
      <c r="T44" s="59"/>
      <c r="U44" s="59"/>
      <c r="V44" s="59"/>
    </row>
    <row r="45" spans="1:22" x14ac:dyDescent="0.2">
      <c r="A45" s="59"/>
      <c r="B45" s="59"/>
      <c r="C45" s="59"/>
      <c r="D45" s="59"/>
      <c r="E45" s="59"/>
      <c r="F45" s="59"/>
      <c r="G45" s="59"/>
      <c r="H45" s="128"/>
      <c r="I45" s="59"/>
      <c r="J45" s="59"/>
      <c r="K45" s="59"/>
      <c r="L45" s="59"/>
      <c r="M45" s="59"/>
      <c r="N45" s="59"/>
      <c r="O45" s="59"/>
      <c r="P45" s="59"/>
      <c r="Q45" s="59"/>
      <c r="R45" s="59"/>
      <c r="S45" s="59"/>
      <c r="T45" s="59"/>
      <c r="U45" s="59"/>
      <c r="V45" s="59"/>
    </row>
    <row r="46" spans="1:22" x14ac:dyDescent="0.2">
      <c r="A46" s="59"/>
      <c r="B46" s="59"/>
      <c r="C46" s="59"/>
      <c r="D46" s="59"/>
      <c r="E46" s="59"/>
      <c r="F46" s="59"/>
      <c r="G46" s="59"/>
      <c r="H46" s="128"/>
      <c r="I46" s="59"/>
      <c r="J46" s="59"/>
      <c r="K46" s="59"/>
      <c r="L46" s="59"/>
      <c r="M46" s="59"/>
      <c r="N46" s="59"/>
      <c r="O46" s="59"/>
      <c r="P46" s="59"/>
      <c r="Q46" s="59"/>
      <c r="R46" s="59"/>
      <c r="S46" s="59"/>
      <c r="T46" s="59"/>
      <c r="U46" s="59"/>
      <c r="V46" s="59"/>
    </row>
    <row r="47" spans="1:22" x14ac:dyDescent="0.2">
      <c r="A47" s="59"/>
      <c r="B47" s="59"/>
      <c r="C47" s="59"/>
      <c r="D47" s="59"/>
      <c r="E47" s="59"/>
      <c r="F47" s="59"/>
      <c r="G47" s="59"/>
      <c r="H47" s="128"/>
      <c r="I47" s="59"/>
      <c r="J47" s="59"/>
      <c r="K47" s="59"/>
      <c r="L47" s="59"/>
      <c r="M47" s="59"/>
      <c r="N47" s="59"/>
      <c r="O47" s="59"/>
      <c r="P47" s="59"/>
      <c r="Q47" s="59"/>
      <c r="R47" s="59"/>
      <c r="S47" s="59"/>
      <c r="T47" s="59"/>
      <c r="U47" s="59"/>
      <c r="V47" s="59"/>
    </row>
    <row r="48" spans="1:22" x14ac:dyDescent="0.2">
      <c r="A48" s="59"/>
      <c r="B48" s="59"/>
      <c r="C48" s="59"/>
      <c r="D48" s="59"/>
      <c r="E48" s="59"/>
      <c r="F48" s="59"/>
      <c r="G48" s="59"/>
      <c r="H48" s="128"/>
      <c r="I48" s="59"/>
      <c r="J48" s="59"/>
      <c r="K48" s="59"/>
      <c r="L48" s="59"/>
      <c r="M48" s="59"/>
      <c r="N48" s="59"/>
      <c r="O48" s="59"/>
      <c r="P48" s="59"/>
      <c r="Q48" s="59"/>
      <c r="R48" s="59"/>
      <c r="S48" s="59"/>
      <c r="T48" s="59"/>
      <c r="U48" s="59"/>
      <c r="V48" s="59"/>
    </row>
    <row r="49" spans="1:22" x14ac:dyDescent="0.2">
      <c r="A49" s="59"/>
      <c r="B49" s="59"/>
      <c r="C49" s="59"/>
      <c r="D49" s="59"/>
      <c r="E49" s="59"/>
      <c r="F49" s="59"/>
      <c r="G49" s="59"/>
      <c r="H49" s="128"/>
      <c r="I49" s="59"/>
      <c r="J49" s="59"/>
      <c r="K49" s="59"/>
      <c r="L49" s="59"/>
      <c r="M49" s="59"/>
      <c r="N49" s="59"/>
      <c r="O49" s="59"/>
      <c r="P49" s="59"/>
      <c r="Q49" s="59"/>
      <c r="R49" s="59"/>
      <c r="S49" s="59"/>
      <c r="T49" s="59"/>
      <c r="U49" s="59"/>
      <c r="V49" s="59"/>
    </row>
    <row r="50" spans="1:22" x14ac:dyDescent="0.2">
      <c r="A50" s="59"/>
      <c r="B50" s="59"/>
      <c r="C50" s="59"/>
      <c r="D50" s="59"/>
      <c r="E50" s="59"/>
      <c r="F50" s="59"/>
      <c r="G50" s="59"/>
      <c r="H50" s="128"/>
      <c r="I50" s="59"/>
      <c r="J50" s="59"/>
      <c r="K50" s="59"/>
      <c r="L50" s="59"/>
      <c r="M50" s="59"/>
      <c r="N50" s="59"/>
      <c r="O50" s="59"/>
      <c r="P50" s="59"/>
      <c r="Q50" s="59"/>
      <c r="R50" s="59"/>
      <c r="S50" s="59"/>
      <c r="T50" s="59"/>
      <c r="U50" s="59"/>
      <c r="V50" s="59"/>
    </row>
    <row r="51" spans="1:22" x14ac:dyDescent="0.2">
      <c r="A51" s="59"/>
      <c r="B51" s="59"/>
      <c r="C51" s="59"/>
      <c r="D51" s="59"/>
      <c r="E51" s="59"/>
      <c r="F51" s="59"/>
      <c r="G51" s="59"/>
      <c r="H51" s="128"/>
      <c r="I51" s="59"/>
      <c r="J51" s="59"/>
      <c r="K51" s="59"/>
      <c r="L51" s="59"/>
      <c r="M51" s="59"/>
      <c r="N51" s="59"/>
      <c r="O51" s="59"/>
      <c r="P51" s="59"/>
      <c r="Q51" s="59"/>
      <c r="R51" s="59"/>
      <c r="S51" s="59"/>
      <c r="T51" s="59"/>
      <c r="U51" s="59"/>
      <c r="V51" s="59"/>
    </row>
    <row r="52" spans="1:22" x14ac:dyDescent="0.2">
      <c r="A52" s="59"/>
      <c r="B52" s="59"/>
      <c r="C52" s="59"/>
      <c r="D52" s="59"/>
      <c r="E52" s="59"/>
      <c r="F52" s="59"/>
      <c r="G52" s="59"/>
      <c r="H52" s="128"/>
      <c r="I52" s="59"/>
      <c r="J52" s="59"/>
      <c r="K52" s="59"/>
      <c r="L52" s="59"/>
      <c r="M52" s="59"/>
      <c r="N52" s="59"/>
      <c r="O52" s="59"/>
      <c r="P52" s="59"/>
      <c r="Q52" s="59"/>
      <c r="R52" s="59"/>
      <c r="S52" s="59"/>
      <c r="T52" s="59"/>
      <c r="U52" s="59"/>
      <c r="V52" s="59"/>
    </row>
    <row r="53" spans="1:22" x14ac:dyDescent="0.2">
      <c r="A53" s="59"/>
      <c r="B53" s="59"/>
      <c r="C53" s="59"/>
      <c r="D53" s="59"/>
      <c r="E53" s="59"/>
      <c r="F53" s="59"/>
      <c r="G53" s="59"/>
      <c r="H53" s="128"/>
      <c r="I53" s="59"/>
      <c r="J53" s="59"/>
      <c r="K53" s="59"/>
      <c r="L53" s="59"/>
      <c r="M53" s="59"/>
      <c r="N53" s="59"/>
      <c r="O53" s="59"/>
      <c r="P53" s="59"/>
      <c r="Q53" s="59"/>
      <c r="R53" s="59"/>
      <c r="S53" s="59"/>
      <c r="T53" s="59"/>
      <c r="U53" s="59"/>
      <c r="V53" s="59"/>
    </row>
    <row r="54" spans="1:22" x14ac:dyDescent="0.2">
      <c r="A54" s="59"/>
      <c r="B54" s="59"/>
      <c r="C54" s="59"/>
      <c r="D54" s="59"/>
      <c r="E54" s="59"/>
      <c r="F54" s="59"/>
      <c r="G54" s="59"/>
      <c r="H54" s="128"/>
      <c r="I54" s="59"/>
      <c r="J54" s="59"/>
      <c r="K54" s="59"/>
      <c r="L54" s="59"/>
      <c r="M54" s="59"/>
      <c r="N54" s="59"/>
      <c r="O54" s="59"/>
      <c r="P54" s="59"/>
      <c r="Q54" s="59"/>
      <c r="R54" s="59"/>
      <c r="S54" s="59"/>
      <c r="T54" s="59"/>
      <c r="U54" s="59"/>
      <c r="V54" s="59"/>
    </row>
    <row r="55" spans="1:22" x14ac:dyDescent="0.2">
      <c r="A55" s="59"/>
      <c r="B55" s="59"/>
      <c r="C55" s="59"/>
      <c r="D55" s="59"/>
      <c r="E55" s="59"/>
      <c r="F55" s="59"/>
      <c r="G55" s="59"/>
      <c r="H55" s="128"/>
      <c r="I55" s="59"/>
      <c r="J55" s="59"/>
      <c r="K55" s="59"/>
      <c r="L55" s="59"/>
      <c r="M55" s="59"/>
      <c r="N55" s="59"/>
      <c r="O55" s="59"/>
      <c r="P55" s="59"/>
      <c r="Q55" s="59"/>
      <c r="R55" s="59"/>
      <c r="S55" s="59"/>
      <c r="T55" s="59"/>
      <c r="U55" s="59"/>
      <c r="V55" s="59"/>
    </row>
    <row r="56" spans="1:22" x14ac:dyDescent="0.2">
      <c r="A56" s="59"/>
      <c r="B56" s="59"/>
      <c r="C56" s="59"/>
      <c r="D56" s="59"/>
      <c r="E56" s="59"/>
      <c r="F56" s="59"/>
      <c r="G56" s="59"/>
      <c r="H56" s="128"/>
      <c r="I56" s="59"/>
      <c r="J56" s="59"/>
      <c r="K56" s="59"/>
      <c r="L56" s="59"/>
      <c r="M56" s="59"/>
      <c r="N56" s="59"/>
      <c r="O56" s="59"/>
      <c r="P56" s="59"/>
      <c r="Q56" s="59"/>
      <c r="R56" s="59"/>
      <c r="S56" s="59"/>
      <c r="T56" s="59"/>
      <c r="U56" s="59"/>
      <c r="V56" s="59"/>
    </row>
    <row r="57" spans="1:22" x14ac:dyDescent="0.2">
      <c r="A57" s="59"/>
      <c r="B57" s="59"/>
      <c r="C57" s="59"/>
      <c r="D57" s="59"/>
      <c r="E57" s="59"/>
      <c r="F57" s="59"/>
      <c r="G57" s="59"/>
      <c r="H57" s="128"/>
      <c r="I57" s="59"/>
      <c r="J57" s="59"/>
      <c r="K57" s="59"/>
      <c r="L57" s="59"/>
      <c r="M57" s="59"/>
      <c r="N57" s="59"/>
      <c r="O57" s="59"/>
      <c r="P57" s="59"/>
      <c r="Q57" s="59"/>
      <c r="R57" s="59"/>
      <c r="S57" s="59"/>
      <c r="T57" s="59"/>
      <c r="U57" s="59"/>
      <c r="V57" s="59"/>
    </row>
    <row r="58" spans="1:22" x14ac:dyDescent="0.2">
      <c r="A58" s="59"/>
      <c r="B58" s="59"/>
      <c r="C58" s="59"/>
      <c r="D58" s="59"/>
      <c r="E58" s="59"/>
      <c r="F58" s="59"/>
      <c r="G58" s="59"/>
      <c r="H58" s="59"/>
      <c r="I58" s="59"/>
      <c r="J58" s="59"/>
      <c r="K58" s="59"/>
      <c r="L58" s="59"/>
      <c r="M58" s="59"/>
      <c r="N58" s="59"/>
      <c r="O58" s="59"/>
      <c r="P58" s="59"/>
      <c r="Q58" s="59"/>
      <c r="R58" s="59"/>
      <c r="S58" s="59"/>
      <c r="T58" s="59"/>
      <c r="U58" s="59"/>
      <c r="V58" s="59"/>
    </row>
    <row r="59" spans="1:22" x14ac:dyDescent="0.2">
      <c r="A59" s="59"/>
      <c r="B59" s="59"/>
      <c r="C59" s="59"/>
      <c r="D59" s="59"/>
      <c r="E59" s="59"/>
      <c r="F59" s="59"/>
      <c r="G59" s="59"/>
      <c r="H59" s="59"/>
      <c r="I59" s="59"/>
      <c r="J59" s="59"/>
      <c r="K59" s="59"/>
      <c r="L59" s="59"/>
      <c r="M59" s="59"/>
      <c r="N59" s="59"/>
      <c r="O59" s="59"/>
      <c r="P59" s="59"/>
      <c r="Q59" s="59"/>
      <c r="R59" s="59"/>
      <c r="S59" s="59"/>
      <c r="T59" s="59"/>
      <c r="U59" s="59"/>
      <c r="V59" s="59"/>
    </row>
    <row r="60" spans="1:22" x14ac:dyDescent="0.2">
      <c r="A60" s="59"/>
      <c r="B60" s="59"/>
      <c r="C60" s="59"/>
      <c r="D60" s="59"/>
      <c r="E60" s="59"/>
      <c r="F60" s="59"/>
      <c r="G60" s="59"/>
      <c r="H60" s="59"/>
      <c r="I60" s="59"/>
      <c r="J60" s="59"/>
      <c r="K60" s="59"/>
      <c r="L60" s="59"/>
      <c r="M60" s="59"/>
      <c r="N60" s="59"/>
      <c r="O60" s="59"/>
      <c r="P60" s="59"/>
      <c r="Q60" s="59"/>
      <c r="R60" s="59"/>
      <c r="S60" s="59"/>
      <c r="T60" s="59"/>
      <c r="U60" s="59"/>
      <c r="V60" s="59"/>
    </row>
    <row r="61" spans="1:22" x14ac:dyDescent="0.2">
      <c r="A61" s="59"/>
      <c r="B61" s="59"/>
      <c r="C61" s="59"/>
      <c r="D61" s="59"/>
      <c r="E61" s="59"/>
      <c r="F61" s="59"/>
      <c r="G61" s="59"/>
      <c r="H61" s="59"/>
      <c r="I61" s="59"/>
      <c r="J61" s="59"/>
      <c r="K61" s="59"/>
      <c r="L61" s="59"/>
      <c r="M61" s="59"/>
      <c r="N61" s="59"/>
      <c r="O61" s="59"/>
      <c r="P61" s="59"/>
      <c r="Q61" s="59"/>
      <c r="R61" s="59"/>
      <c r="S61" s="59"/>
      <c r="T61" s="59"/>
      <c r="U61" s="59"/>
      <c r="V61" s="59"/>
    </row>
    <row r="62" spans="1:22" x14ac:dyDescent="0.2">
      <c r="A62" s="59"/>
      <c r="B62" s="59"/>
      <c r="C62" s="59"/>
      <c r="D62" s="59"/>
      <c r="E62" s="59"/>
      <c r="F62" s="59"/>
      <c r="G62" s="59"/>
      <c r="H62" s="59"/>
      <c r="I62" s="59"/>
      <c r="J62" s="59"/>
      <c r="K62" s="59"/>
      <c r="L62" s="59"/>
      <c r="M62" s="59"/>
      <c r="N62" s="59"/>
      <c r="O62" s="59"/>
      <c r="P62" s="59"/>
      <c r="Q62" s="59"/>
      <c r="R62" s="59"/>
      <c r="S62" s="59"/>
      <c r="T62" s="59"/>
      <c r="U62" s="59"/>
      <c r="V62" s="59"/>
    </row>
    <row r="63" spans="1:22" x14ac:dyDescent="0.2">
      <c r="A63" s="59"/>
      <c r="B63" s="59"/>
      <c r="C63" s="59"/>
      <c r="D63" s="59"/>
      <c r="E63" s="59"/>
      <c r="F63" s="59"/>
      <c r="G63" s="59"/>
      <c r="H63" s="59"/>
      <c r="I63" s="59"/>
      <c r="J63" s="59"/>
      <c r="K63" s="59"/>
      <c r="L63" s="59"/>
      <c r="M63" s="59"/>
      <c r="N63" s="59"/>
      <c r="O63" s="59"/>
      <c r="P63" s="59"/>
      <c r="Q63" s="59"/>
      <c r="R63" s="59"/>
      <c r="S63" s="59"/>
      <c r="T63" s="59"/>
      <c r="U63" s="59"/>
      <c r="V63" s="59"/>
    </row>
    <row r="64" spans="1:22" x14ac:dyDescent="0.2">
      <c r="A64" s="59"/>
      <c r="B64" s="59"/>
      <c r="C64" s="59"/>
      <c r="D64" s="59"/>
      <c r="E64" s="59"/>
      <c r="F64" s="59"/>
      <c r="G64" s="59"/>
      <c r="H64" s="59"/>
      <c r="I64" s="59"/>
      <c r="J64" s="59"/>
      <c r="K64" s="59"/>
      <c r="L64" s="59"/>
      <c r="M64" s="59"/>
      <c r="N64" s="59"/>
      <c r="O64" s="59"/>
      <c r="P64" s="59"/>
      <c r="Q64" s="59"/>
      <c r="R64" s="59"/>
      <c r="S64" s="59"/>
      <c r="T64" s="59"/>
      <c r="U64" s="59"/>
      <c r="V64" s="59"/>
    </row>
    <row r="65" spans="1:22" x14ac:dyDescent="0.2">
      <c r="A65" s="59"/>
      <c r="B65" s="59"/>
      <c r="C65" s="59"/>
      <c r="D65" s="59"/>
      <c r="E65" s="59"/>
      <c r="F65" s="59"/>
      <c r="G65" s="59"/>
      <c r="H65" s="59"/>
      <c r="I65" s="59"/>
      <c r="J65" s="59"/>
      <c r="K65" s="59"/>
      <c r="L65" s="59"/>
      <c r="M65" s="59"/>
      <c r="N65" s="59"/>
      <c r="O65" s="59"/>
      <c r="P65" s="59"/>
      <c r="Q65" s="59"/>
      <c r="R65" s="59"/>
      <c r="S65" s="59"/>
      <c r="T65" s="59"/>
      <c r="U65" s="59"/>
      <c r="V65" s="59"/>
    </row>
    <row r="66" spans="1:22" x14ac:dyDescent="0.2">
      <c r="A66" s="59"/>
      <c r="B66" s="59"/>
      <c r="C66" s="59"/>
      <c r="D66" s="59"/>
      <c r="E66" s="59"/>
      <c r="F66" s="59"/>
      <c r="G66" s="59"/>
      <c r="H66" s="59"/>
      <c r="I66" s="59"/>
      <c r="J66" s="59"/>
      <c r="K66" s="59"/>
      <c r="L66" s="59"/>
      <c r="M66" s="59"/>
      <c r="N66" s="59"/>
      <c r="O66" s="59"/>
      <c r="P66" s="59"/>
      <c r="Q66" s="59"/>
      <c r="R66" s="59"/>
      <c r="S66" s="59"/>
      <c r="T66" s="59"/>
      <c r="U66" s="59"/>
      <c r="V66" s="59"/>
    </row>
    <row r="67" spans="1:22" x14ac:dyDescent="0.2">
      <c r="A67" s="59"/>
      <c r="B67" s="59"/>
      <c r="C67" s="59"/>
      <c r="D67" s="59"/>
      <c r="E67" s="59"/>
      <c r="F67" s="59"/>
      <c r="G67" s="59"/>
      <c r="H67" s="59"/>
      <c r="I67" s="59"/>
      <c r="J67" s="59"/>
      <c r="K67" s="59"/>
      <c r="L67" s="59"/>
      <c r="M67" s="59"/>
      <c r="N67" s="59"/>
      <c r="O67" s="59"/>
      <c r="P67" s="59"/>
      <c r="Q67" s="59"/>
      <c r="R67" s="59"/>
      <c r="S67" s="59"/>
      <c r="T67" s="59"/>
      <c r="U67" s="59"/>
      <c r="V67" s="59"/>
    </row>
    <row r="68" spans="1:22" x14ac:dyDescent="0.2">
      <c r="A68" s="59"/>
      <c r="B68" s="59"/>
      <c r="C68" s="59"/>
      <c r="D68" s="59"/>
      <c r="E68" s="59"/>
      <c r="F68" s="59"/>
      <c r="G68" s="59"/>
      <c r="H68" s="59"/>
      <c r="I68" s="59"/>
      <c r="J68" s="59"/>
      <c r="K68" s="59"/>
      <c r="L68" s="59"/>
      <c r="M68" s="59"/>
      <c r="N68" s="59"/>
      <c r="O68" s="59"/>
      <c r="P68" s="59"/>
      <c r="Q68" s="59"/>
      <c r="R68" s="59"/>
      <c r="S68" s="59"/>
      <c r="T68" s="59"/>
      <c r="U68" s="59"/>
      <c r="V68" s="59"/>
    </row>
    <row r="69" spans="1:22" x14ac:dyDescent="0.2">
      <c r="A69" s="59"/>
      <c r="B69" s="59"/>
      <c r="C69" s="59"/>
      <c r="D69" s="59"/>
      <c r="E69" s="59"/>
      <c r="F69" s="59"/>
      <c r="G69" s="59"/>
      <c r="H69" s="59"/>
      <c r="I69" s="59"/>
      <c r="J69" s="59"/>
      <c r="K69" s="59"/>
      <c r="L69" s="59"/>
      <c r="M69" s="59"/>
      <c r="N69" s="59"/>
      <c r="O69" s="59"/>
      <c r="P69" s="59"/>
      <c r="Q69" s="59"/>
      <c r="R69" s="59"/>
      <c r="S69" s="59"/>
      <c r="T69" s="59"/>
      <c r="U69" s="59"/>
      <c r="V69" s="59"/>
    </row>
    <row r="70" spans="1:22" x14ac:dyDescent="0.2">
      <c r="A70" s="59"/>
      <c r="B70" s="59"/>
      <c r="C70" s="59"/>
      <c r="D70" s="59"/>
      <c r="E70" s="59"/>
      <c r="F70" s="59"/>
      <c r="G70" s="59"/>
      <c r="H70" s="59"/>
      <c r="I70" s="59"/>
      <c r="J70" s="59"/>
      <c r="K70" s="59"/>
      <c r="L70" s="59"/>
      <c r="M70" s="59"/>
      <c r="N70" s="59"/>
      <c r="O70" s="59"/>
      <c r="P70" s="59"/>
      <c r="Q70" s="59"/>
      <c r="R70" s="59"/>
      <c r="S70" s="59"/>
      <c r="T70" s="59"/>
      <c r="U70" s="59"/>
      <c r="V70" s="59"/>
    </row>
    <row r="71" spans="1:22" x14ac:dyDescent="0.2">
      <c r="A71" s="59"/>
      <c r="B71" s="59"/>
      <c r="C71" s="59"/>
      <c r="D71" s="59"/>
      <c r="E71" s="59"/>
      <c r="F71" s="59"/>
      <c r="G71" s="59"/>
      <c r="H71" s="59"/>
      <c r="I71" s="59"/>
      <c r="J71" s="59"/>
      <c r="K71" s="59"/>
      <c r="L71" s="59"/>
      <c r="M71" s="59"/>
      <c r="N71" s="59"/>
      <c r="O71" s="59"/>
      <c r="P71" s="59"/>
      <c r="Q71" s="59"/>
      <c r="R71" s="59"/>
      <c r="S71" s="59"/>
      <c r="T71" s="59"/>
      <c r="U71" s="59"/>
      <c r="V71" s="59"/>
    </row>
    <row r="72" spans="1:22" x14ac:dyDescent="0.2">
      <c r="A72" s="59"/>
      <c r="B72" s="59"/>
      <c r="C72" s="59"/>
      <c r="D72" s="59"/>
      <c r="E72" s="59"/>
      <c r="F72" s="59"/>
      <c r="G72" s="59"/>
      <c r="H72" s="59"/>
      <c r="I72" s="59"/>
      <c r="J72" s="59"/>
      <c r="K72" s="59"/>
      <c r="L72" s="59"/>
      <c r="M72" s="59"/>
      <c r="N72" s="59"/>
      <c r="O72" s="59"/>
      <c r="P72" s="59"/>
      <c r="Q72" s="59"/>
      <c r="R72" s="59"/>
      <c r="S72" s="59"/>
      <c r="T72" s="59"/>
      <c r="U72" s="59"/>
      <c r="V72" s="59"/>
    </row>
    <row r="73" spans="1:22" x14ac:dyDescent="0.2">
      <c r="A73" s="59"/>
      <c r="B73" s="59"/>
      <c r="C73" s="59"/>
      <c r="D73" s="59"/>
      <c r="E73" s="59"/>
      <c r="F73" s="59"/>
      <c r="G73" s="59"/>
      <c r="H73" s="59"/>
      <c r="I73" s="59"/>
      <c r="J73" s="59"/>
      <c r="K73" s="59"/>
      <c r="L73" s="59"/>
      <c r="M73" s="59"/>
      <c r="N73" s="59"/>
      <c r="O73" s="59"/>
      <c r="P73" s="59"/>
      <c r="Q73" s="59"/>
      <c r="R73" s="59"/>
      <c r="S73" s="59"/>
      <c r="T73" s="59"/>
      <c r="U73" s="59"/>
      <c r="V73" s="59"/>
    </row>
    <row r="74" spans="1:22" x14ac:dyDescent="0.2">
      <c r="A74" s="59"/>
      <c r="B74" s="59"/>
      <c r="C74" s="59"/>
      <c r="D74" s="59"/>
      <c r="E74" s="59"/>
      <c r="F74" s="59"/>
      <c r="G74" s="59"/>
      <c r="H74" s="59"/>
      <c r="I74" s="59"/>
      <c r="J74" s="59"/>
      <c r="K74" s="59"/>
      <c r="L74" s="59"/>
      <c r="M74" s="59"/>
      <c r="N74" s="59"/>
      <c r="O74" s="59"/>
      <c r="P74" s="59"/>
      <c r="Q74" s="59"/>
      <c r="R74" s="59"/>
      <c r="S74" s="59"/>
      <c r="T74" s="59"/>
      <c r="U74" s="59"/>
      <c r="V74" s="59"/>
    </row>
    <row r="75" spans="1:22" x14ac:dyDescent="0.2">
      <c r="A75" s="59"/>
      <c r="B75" s="59"/>
      <c r="C75" s="59"/>
      <c r="D75" s="59"/>
      <c r="E75" s="59"/>
      <c r="F75" s="59"/>
      <c r="G75" s="59"/>
      <c r="H75" s="59"/>
      <c r="I75" s="59"/>
      <c r="J75" s="59"/>
      <c r="K75" s="59"/>
      <c r="L75" s="59"/>
      <c r="M75" s="59"/>
      <c r="N75" s="59"/>
      <c r="O75" s="59"/>
      <c r="P75" s="59"/>
      <c r="Q75" s="59"/>
      <c r="R75" s="59"/>
      <c r="S75" s="59"/>
      <c r="T75" s="59"/>
      <c r="U75" s="59"/>
      <c r="V75" s="59"/>
    </row>
    <row r="76" spans="1:22" x14ac:dyDescent="0.2">
      <c r="A76" s="59"/>
      <c r="B76" s="59"/>
      <c r="C76" s="59"/>
      <c r="D76" s="59"/>
      <c r="E76" s="59"/>
      <c r="F76" s="59"/>
      <c r="G76" s="59"/>
      <c r="H76" s="59"/>
      <c r="I76" s="59"/>
      <c r="J76" s="59"/>
      <c r="K76" s="59"/>
      <c r="L76" s="59"/>
      <c r="M76" s="59"/>
      <c r="N76" s="59"/>
      <c r="O76" s="59"/>
      <c r="P76" s="59"/>
      <c r="Q76" s="59"/>
      <c r="R76" s="59"/>
      <c r="S76" s="59"/>
      <c r="T76" s="59"/>
      <c r="U76" s="59"/>
      <c r="V76" s="59"/>
    </row>
    <row r="77" spans="1:22" x14ac:dyDescent="0.2">
      <c r="A77" s="59"/>
      <c r="B77" s="59"/>
      <c r="C77" s="59"/>
      <c r="D77" s="59"/>
      <c r="E77" s="59"/>
      <c r="F77" s="59"/>
      <c r="G77" s="59"/>
      <c r="H77" s="59"/>
      <c r="I77" s="59"/>
      <c r="J77" s="59"/>
      <c r="K77" s="59"/>
      <c r="L77" s="59"/>
      <c r="M77" s="59"/>
      <c r="N77" s="59"/>
      <c r="O77" s="59"/>
      <c r="P77" s="59"/>
      <c r="Q77" s="59"/>
      <c r="R77" s="59"/>
      <c r="S77" s="59"/>
      <c r="T77" s="59"/>
      <c r="U77" s="59"/>
      <c r="V77" s="59"/>
    </row>
    <row r="78" spans="1:22" x14ac:dyDescent="0.2">
      <c r="A78" s="59"/>
      <c r="B78" s="59"/>
      <c r="C78" s="59"/>
      <c r="D78" s="59"/>
      <c r="E78" s="59"/>
      <c r="F78" s="59"/>
      <c r="G78" s="59"/>
      <c r="H78" s="59"/>
      <c r="I78" s="59"/>
      <c r="J78" s="59"/>
      <c r="K78" s="59"/>
      <c r="L78" s="59"/>
      <c r="M78" s="59"/>
      <c r="N78" s="59"/>
      <c r="O78" s="59"/>
      <c r="P78" s="59"/>
      <c r="Q78" s="59"/>
      <c r="R78" s="59"/>
      <c r="S78" s="59"/>
      <c r="T78" s="59"/>
      <c r="U78" s="59"/>
      <c r="V78" s="59"/>
    </row>
    <row r="79" spans="1:22" x14ac:dyDescent="0.2">
      <c r="A79" s="59"/>
      <c r="B79" s="59"/>
      <c r="C79" s="59"/>
      <c r="D79" s="59"/>
      <c r="E79" s="59"/>
      <c r="F79" s="59"/>
      <c r="G79" s="59"/>
      <c r="H79" s="59"/>
      <c r="I79" s="59"/>
      <c r="J79" s="59"/>
      <c r="K79" s="59"/>
      <c r="L79" s="59"/>
      <c r="M79" s="59"/>
      <c r="N79" s="59"/>
      <c r="O79" s="59"/>
      <c r="P79" s="59"/>
      <c r="Q79" s="59"/>
      <c r="R79" s="59"/>
      <c r="S79" s="59"/>
      <c r="T79" s="59"/>
      <c r="U79" s="59"/>
      <c r="V79" s="59"/>
    </row>
    <row r="80" spans="1:22" x14ac:dyDescent="0.2">
      <c r="A80" s="59"/>
      <c r="B80" s="59"/>
      <c r="C80" s="59"/>
      <c r="D80" s="59"/>
      <c r="E80" s="59"/>
      <c r="F80" s="59"/>
      <c r="G80" s="59"/>
      <c r="H80" s="59"/>
      <c r="I80" s="59"/>
      <c r="J80" s="59"/>
      <c r="K80" s="59"/>
      <c r="L80" s="59"/>
      <c r="M80" s="59"/>
      <c r="N80" s="59"/>
      <c r="O80" s="59"/>
      <c r="P80" s="59"/>
      <c r="Q80" s="59"/>
      <c r="R80" s="59"/>
      <c r="S80" s="59"/>
      <c r="T80" s="59"/>
      <c r="U80" s="59"/>
      <c r="V80" s="59"/>
    </row>
    <row r="81" spans="1:22" x14ac:dyDescent="0.2">
      <c r="A81" s="59"/>
      <c r="B81" s="59"/>
      <c r="C81" s="59"/>
      <c r="D81" s="59"/>
      <c r="E81" s="59"/>
      <c r="F81" s="59"/>
      <c r="G81" s="59"/>
      <c r="H81" s="59"/>
      <c r="I81" s="59"/>
      <c r="J81" s="59"/>
      <c r="K81" s="59"/>
      <c r="L81" s="59"/>
      <c r="M81" s="59"/>
      <c r="N81" s="59"/>
      <c r="O81" s="59"/>
      <c r="P81" s="59"/>
      <c r="Q81" s="59"/>
      <c r="R81" s="59"/>
      <c r="S81" s="59"/>
      <c r="T81" s="59"/>
      <c r="U81" s="59"/>
      <c r="V81" s="59"/>
    </row>
    <row r="82" spans="1:22" x14ac:dyDescent="0.2">
      <c r="A82" s="59"/>
      <c r="B82" s="59"/>
      <c r="C82" s="59"/>
      <c r="D82" s="59"/>
      <c r="E82" s="59"/>
      <c r="F82" s="59"/>
      <c r="G82" s="59"/>
      <c r="H82" s="59"/>
      <c r="I82" s="59"/>
      <c r="J82" s="59"/>
      <c r="K82" s="59"/>
      <c r="L82" s="59"/>
      <c r="M82" s="59"/>
      <c r="N82" s="59"/>
      <c r="O82" s="59"/>
      <c r="P82" s="59"/>
      <c r="Q82" s="59"/>
      <c r="R82" s="59"/>
      <c r="S82" s="59"/>
      <c r="T82" s="59"/>
      <c r="U82" s="59"/>
      <c r="V82" s="59"/>
    </row>
    <row r="83" spans="1:22" x14ac:dyDescent="0.2">
      <c r="A83" s="59"/>
      <c r="B83" s="59"/>
      <c r="C83" s="59"/>
      <c r="D83" s="59"/>
      <c r="E83" s="59"/>
      <c r="F83" s="59"/>
      <c r="G83" s="59"/>
      <c r="H83" s="59"/>
      <c r="I83" s="59"/>
      <c r="J83" s="59"/>
      <c r="K83" s="59"/>
      <c r="L83" s="59"/>
      <c r="M83" s="59"/>
      <c r="N83" s="59"/>
      <c r="O83" s="59"/>
      <c r="P83" s="59"/>
      <c r="Q83" s="59"/>
      <c r="R83" s="59"/>
      <c r="S83" s="59"/>
      <c r="T83" s="59"/>
      <c r="U83" s="59"/>
      <c r="V83" s="59"/>
    </row>
    <row r="84" spans="1:22" x14ac:dyDescent="0.2">
      <c r="A84" s="59"/>
      <c r="B84" s="59"/>
      <c r="C84" s="59"/>
      <c r="D84" s="59"/>
      <c r="E84" s="59"/>
      <c r="F84" s="59"/>
      <c r="G84" s="59"/>
      <c r="H84" s="59"/>
      <c r="I84" s="59"/>
      <c r="J84" s="59"/>
      <c r="K84" s="59"/>
      <c r="L84" s="59"/>
      <c r="M84" s="59"/>
      <c r="N84" s="59"/>
      <c r="O84" s="59"/>
      <c r="P84" s="59"/>
      <c r="Q84" s="59"/>
      <c r="R84" s="59"/>
      <c r="S84" s="59"/>
      <c r="T84" s="59"/>
      <c r="U84" s="59"/>
      <c r="V84" s="59"/>
    </row>
    <row r="85" spans="1:22" x14ac:dyDescent="0.2">
      <c r="A85" s="59"/>
      <c r="B85" s="59"/>
      <c r="C85" s="59"/>
      <c r="D85" s="59"/>
      <c r="E85" s="59"/>
      <c r="F85" s="59"/>
      <c r="G85" s="59"/>
      <c r="H85" s="59"/>
      <c r="I85" s="59"/>
      <c r="J85" s="59"/>
      <c r="K85" s="59"/>
      <c r="L85" s="59"/>
      <c r="M85" s="59"/>
      <c r="N85" s="59"/>
      <c r="O85" s="59"/>
      <c r="P85" s="59"/>
      <c r="Q85" s="59"/>
      <c r="R85" s="59"/>
      <c r="S85" s="59"/>
      <c r="T85" s="59"/>
      <c r="U85" s="59"/>
      <c r="V85" s="59"/>
    </row>
    <row r="86" spans="1:22" x14ac:dyDescent="0.2">
      <c r="A86" s="59"/>
      <c r="B86" s="59"/>
      <c r="C86" s="59"/>
      <c r="D86" s="59"/>
      <c r="E86" s="59"/>
      <c r="F86" s="59"/>
      <c r="G86" s="59"/>
      <c r="H86" s="59"/>
      <c r="I86" s="59"/>
      <c r="J86" s="59"/>
      <c r="K86" s="59"/>
      <c r="L86" s="59"/>
      <c r="M86" s="59"/>
      <c r="N86" s="59"/>
      <c r="O86" s="59"/>
      <c r="P86" s="59"/>
      <c r="Q86" s="59"/>
      <c r="R86" s="59"/>
      <c r="S86" s="59"/>
      <c r="T86" s="59"/>
      <c r="U86" s="59"/>
      <c r="V86" s="59"/>
    </row>
    <row r="87" spans="1:22" x14ac:dyDescent="0.2">
      <c r="A87" s="59"/>
      <c r="B87" s="59"/>
      <c r="C87" s="59"/>
      <c r="D87" s="59"/>
      <c r="E87" s="59"/>
      <c r="F87" s="59"/>
      <c r="G87" s="59"/>
      <c r="H87" s="59"/>
      <c r="I87" s="59"/>
      <c r="J87" s="59"/>
      <c r="K87" s="59"/>
      <c r="L87" s="59"/>
      <c r="M87" s="59"/>
      <c r="N87" s="59"/>
      <c r="O87" s="59"/>
      <c r="P87" s="59"/>
      <c r="Q87" s="59"/>
      <c r="R87" s="59"/>
      <c r="S87" s="59"/>
      <c r="T87" s="59"/>
      <c r="U87" s="59"/>
      <c r="V87" s="59"/>
    </row>
    <row r="88" spans="1:22" x14ac:dyDescent="0.2">
      <c r="A88" s="59"/>
      <c r="B88" s="59"/>
      <c r="C88" s="59"/>
      <c r="D88" s="59"/>
      <c r="E88" s="59"/>
      <c r="F88" s="59"/>
      <c r="G88" s="59"/>
      <c r="H88" s="59"/>
      <c r="I88" s="59"/>
      <c r="J88" s="59"/>
      <c r="K88" s="59"/>
      <c r="L88" s="59"/>
      <c r="M88" s="59"/>
      <c r="N88" s="59"/>
      <c r="O88" s="59"/>
      <c r="P88" s="59"/>
      <c r="Q88" s="59"/>
      <c r="R88" s="59"/>
      <c r="S88" s="59"/>
      <c r="T88" s="59"/>
      <c r="U88" s="59"/>
      <c r="V88" s="59"/>
    </row>
    <row r="89" spans="1:22" x14ac:dyDescent="0.2">
      <c r="A89" s="59"/>
      <c r="B89" s="59"/>
      <c r="C89" s="59"/>
      <c r="D89" s="59"/>
      <c r="E89" s="59"/>
      <c r="F89" s="59"/>
      <c r="G89" s="59"/>
      <c r="H89" s="59"/>
      <c r="I89" s="59"/>
      <c r="J89" s="59"/>
      <c r="K89" s="59"/>
      <c r="L89" s="59"/>
      <c r="M89" s="59"/>
      <c r="N89" s="59"/>
      <c r="O89" s="59"/>
      <c r="P89" s="59"/>
      <c r="Q89" s="59"/>
      <c r="R89" s="59"/>
      <c r="S89" s="59"/>
      <c r="T89" s="59"/>
      <c r="U89" s="59"/>
      <c r="V89" s="59"/>
    </row>
    <row r="90" spans="1:22" x14ac:dyDescent="0.2">
      <c r="A90" s="59"/>
      <c r="B90" s="59"/>
      <c r="C90" s="59"/>
      <c r="D90" s="59"/>
      <c r="E90" s="59"/>
      <c r="F90" s="59"/>
      <c r="G90" s="59"/>
      <c r="H90" s="59"/>
      <c r="I90" s="59"/>
      <c r="J90" s="59"/>
      <c r="K90" s="59"/>
      <c r="L90" s="59"/>
      <c r="M90" s="59"/>
      <c r="N90" s="59"/>
      <c r="O90" s="59"/>
      <c r="P90" s="59"/>
      <c r="Q90" s="59"/>
      <c r="R90" s="59"/>
      <c r="S90" s="59"/>
      <c r="T90" s="59"/>
      <c r="U90" s="59"/>
      <c r="V90" s="59"/>
    </row>
    <row r="91" spans="1:22" x14ac:dyDescent="0.2">
      <c r="A91" s="59"/>
      <c r="B91" s="59"/>
      <c r="C91" s="59"/>
      <c r="D91" s="59"/>
      <c r="E91" s="59"/>
      <c r="F91" s="59"/>
      <c r="G91" s="59"/>
      <c r="H91" s="59"/>
      <c r="I91" s="59"/>
      <c r="J91" s="59"/>
      <c r="K91" s="59"/>
      <c r="L91" s="59"/>
      <c r="M91" s="59"/>
      <c r="N91" s="59"/>
      <c r="O91" s="59"/>
      <c r="P91" s="59"/>
      <c r="Q91" s="59"/>
      <c r="R91" s="59"/>
      <c r="S91" s="59"/>
      <c r="T91" s="59"/>
      <c r="U91" s="59"/>
      <c r="V91" s="59"/>
    </row>
    <row r="92" spans="1:22" x14ac:dyDescent="0.2">
      <c r="A92" s="59"/>
      <c r="B92" s="59"/>
      <c r="C92" s="59"/>
      <c r="D92" s="59"/>
      <c r="E92" s="59"/>
      <c r="F92" s="59"/>
      <c r="G92" s="59"/>
      <c r="H92" s="59"/>
      <c r="I92" s="59"/>
      <c r="J92" s="59"/>
      <c r="K92" s="59"/>
      <c r="L92" s="59"/>
      <c r="M92" s="59"/>
      <c r="N92" s="59"/>
      <c r="O92" s="59"/>
      <c r="P92" s="59"/>
      <c r="Q92" s="59"/>
      <c r="R92" s="59"/>
      <c r="S92" s="59"/>
      <c r="T92" s="59"/>
      <c r="U92" s="59"/>
      <c r="V92" s="59"/>
    </row>
    <row r="93" spans="1:22" x14ac:dyDescent="0.2">
      <c r="A93" s="59"/>
      <c r="B93" s="59"/>
      <c r="C93" s="59"/>
      <c r="D93" s="59"/>
      <c r="E93" s="59"/>
      <c r="F93" s="59"/>
      <c r="G93" s="59"/>
      <c r="H93" s="59"/>
      <c r="I93" s="59"/>
      <c r="J93" s="59"/>
      <c r="K93" s="59"/>
      <c r="L93" s="59"/>
      <c r="M93" s="59"/>
      <c r="N93" s="59"/>
      <c r="O93" s="59"/>
      <c r="P93" s="59"/>
      <c r="Q93" s="59"/>
      <c r="R93" s="59"/>
      <c r="S93" s="59"/>
      <c r="T93" s="59"/>
      <c r="U93" s="59"/>
      <c r="V93" s="59"/>
    </row>
    <row r="94" spans="1:22" x14ac:dyDescent="0.2">
      <c r="A94" s="59"/>
      <c r="B94" s="59"/>
      <c r="C94" s="59"/>
      <c r="D94" s="59"/>
      <c r="E94" s="59"/>
      <c r="F94" s="59"/>
      <c r="G94" s="59"/>
      <c r="H94" s="59"/>
      <c r="I94" s="59"/>
      <c r="J94" s="59"/>
      <c r="K94" s="59"/>
      <c r="L94" s="59"/>
      <c r="M94" s="59"/>
      <c r="N94" s="59"/>
      <c r="O94" s="59"/>
      <c r="P94" s="59"/>
      <c r="Q94" s="59"/>
      <c r="R94" s="59"/>
      <c r="S94" s="59"/>
      <c r="T94" s="59"/>
      <c r="U94" s="59"/>
      <c r="V94" s="59"/>
    </row>
    <row r="95" spans="1:22" x14ac:dyDescent="0.2">
      <c r="A95" s="59"/>
      <c r="B95" s="59"/>
      <c r="C95" s="59"/>
      <c r="D95" s="59"/>
      <c r="E95" s="59"/>
      <c r="F95" s="59"/>
      <c r="G95" s="59"/>
      <c r="H95" s="59"/>
      <c r="I95" s="59"/>
      <c r="J95" s="59"/>
      <c r="K95" s="59"/>
      <c r="L95" s="59"/>
      <c r="M95" s="59"/>
      <c r="N95" s="59"/>
      <c r="O95" s="59"/>
      <c r="P95" s="59"/>
      <c r="Q95" s="59"/>
      <c r="R95" s="59"/>
      <c r="S95" s="59"/>
      <c r="T95" s="59"/>
      <c r="U95" s="59"/>
      <c r="V95" s="59"/>
    </row>
    <row r="96" spans="1:22" x14ac:dyDescent="0.2">
      <c r="A96" s="59"/>
      <c r="B96" s="59"/>
      <c r="C96" s="59"/>
      <c r="D96" s="59"/>
      <c r="E96" s="59"/>
      <c r="F96" s="59"/>
      <c r="G96" s="59"/>
      <c r="H96" s="59"/>
      <c r="I96" s="59"/>
      <c r="J96" s="59"/>
      <c r="K96" s="59"/>
      <c r="L96" s="59"/>
      <c r="M96" s="59"/>
      <c r="N96" s="59"/>
      <c r="O96" s="59"/>
      <c r="P96" s="59"/>
      <c r="Q96" s="59"/>
      <c r="R96" s="59"/>
      <c r="S96" s="59"/>
      <c r="T96" s="59"/>
      <c r="U96" s="59"/>
      <c r="V96" s="59"/>
    </row>
    <row r="97" spans="1:22" x14ac:dyDescent="0.2">
      <c r="A97" s="59"/>
      <c r="B97" s="59"/>
      <c r="C97" s="59"/>
      <c r="D97" s="59"/>
      <c r="E97" s="59"/>
      <c r="F97" s="59"/>
      <c r="G97" s="59"/>
      <c r="H97" s="59"/>
      <c r="I97" s="59"/>
      <c r="J97" s="59"/>
      <c r="K97" s="59"/>
      <c r="L97" s="59"/>
      <c r="M97" s="59"/>
      <c r="N97" s="59"/>
      <c r="O97" s="59"/>
      <c r="P97" s="59"/>
      <c r="Q97" s="59"/>
      <c r="R97" s="59"/>
      <c r="S97" s="59"/>
      <c r="T97" s="59"/>
      <c r="U97" s="59"/>
      <c r="V97" s="59"/>
    </row>
    <row r="98" spans="1:22" x14ac:dyDescent="0.2">
      <c r="A98" s="59"/>
      <c r="B98" s="59"/>
      <c r="C98" s="59"/>
      <c r="D98" s="59"/>
      <c r="E98" s="59"/>
      <c r="F98" s="59"/>
      <c r="G98" s="59"/>
      <c r="H98" s="59"/>
      <c r="I98" s="59"/>
      <c r="J98" s="59"/>
      <c r="K98" s="59"/>
      <c r="L98" s="59"/>
      <c r="M98" s="59"/>
      <c r="N98" s="59"/>
      <c r="O98" s="59"/>
      <c r="P98" s="59"/>
      <c r="Q98" s="59"/>
      <c r="R98" s="59"/>
      <c r="S98" s="59"/>
      <c r="T98" s="59"/>
      <c r="U98" s="59"/>
      <c r="V98" s="59"/>
    </row>
    <row r="99" spans="1:22" x14ac:dyDescent="0.2">
      <c r="A99" s="59"/>
      <c r="B99" s="59"/>
      <c r="C99" s="59"/>
      <c r="D99" s="59"/>
      <c r="E99" s="59"/>
      <c r="F99" s="59"/>
      <c r="G99" s="59"/>
      <c r="H99" s="59"/>
      <c r="I99" s="59"/>
      <c r="J99" s="59"/>
      <c r="K99" s="59"/>
      <c r="L99" s="59"/>
      <c r="M99" s="59"/>
      <c r="N99" s="59"/>
      <c r="O99" s="59"/>
      <c r="P99" s="59"/>
      <c r="Q99" s="59"/>
      <c r="R99" s="59"/>
      <c r="S99" s="59"/>
      <c r="T99" s="59"/>
      <c r="U99" s="59"/>
      <c r="V99" s="59"/>
    </row>
    <row r="100" spans="1:22" x14ac:dyDescent="0.2">
      <c r="A100" s="59"/>
      <c r="B100" s="59"/>
      <c r="C100" s="59"/>
      <c r="D100" s="59"/>
      <c r="E100" s="59"/>
      <c r="F100" s="59"/>
      <c r="G100" s="59"/>
      <c r="H100" s="59"/>
      <c r="I100" s="59"/>
      <c r="J100" s="59"/>
      <c r="K100" s="59"/>
      <c r="L100" s="59"/>
      <c r="M100" s="59"/>
      <c r="N100" s="59"/>
      <c r="O100" s="59"/>
      <c r="P100" s="59"/>
      <c r="Q100" s="59"/>
      <c r="R100" s="59"/>
      <c r="S100" s="59"/>
      <c r="T100" s="59"/>
      <c r="U100" s="59"/>
      <c r="V100" s="59"/>
    </row>
  </sheetData>
  <sheetProtection algorithmName="SHA-512" hashValue="OeqHf4oedBt0JSERbkDVAgqUwBExsdRC7OB4dhmjqYQB0WW7LX4UWt71h8yHw9CRhcyFfjvHLzlQpuYk/JLzrg==" saltValue="VYhayhTxnqh7/m4UZQlZWw==" spinCount="100000" sheet="1" objects="1" scenarios="1"/>
  <protectedRanges>
    <protectedRange sqref="A7:H24" name="Bereich1"/>
  </protectedRanges>
  <customSheetViews>
    <customSheetView guid="{8595FB22-684A-40C6-BCB3-CF11C69F4546}" showRuler="0">
      <selection activeCell="F7" sqref="F7:G7"/>
      <pageMargins left="0" right="0" top="0" bottom="0" header="0" footer="0"/>
      <pageSetup paperSize="9" scale="81" orientation="landscape" r:id="rId1"/>
      <headerFooter alignWithMargins="0"/>
    </customSheetView>
  </customSheetViews>
  <mergeCells count="56">
    <mergeCell ref="A1:I1"/>
    <mergeCell ref="A3:D3"/>
    <mergeCell ref="I25:I26"/>
    <mergeCell ref="F7:G7"/>
    <mergeCell ref="F8:G8"/>
    <mergeCell ref="F9:G9"/>
    <mergeCell ref="F10:G10"/>
    <mergeCell ref="A25:D26"/>
    <mergeCell ref="A24:D24"/>
    <mergeCell ref="A23:D23"/>
    <mergeCell ref="A4:D6"/>
    <mergeCell ref="E4:E6"/>
    <mergeCell ref="A7:D7"/>
    <mergeCell ref="A12:D12"/>
    <mergeCell ref="A13:D13"/>
    <mergeCell ref="A14:D14"/>
    <mergeCell ref="A22:D22"/>
    <mergeCell ref="A18:D18"/>
    <mergeCell ref="A8:D8"/>
    <mergeCell ref="A9:D9"/>
    <mergeCell ref="A10:D10"/>
    <mergeCell ref="A15:D15"/>
    <mergeCell ref="A11:D11"/>
    <mergeCell ref="A19:D19"/>
    <mergeCell ref="A20:D20"/>
    <mergeCell ref="A21:D21"/>
    <mergeCell ref="A16:D16"/>
    <mergeCell ref="A17:D17"/>
    <mergeCell ref="F21:G21"/>
    <mergeCell ref="F22:G22"/>
    <mergeCell ref="F16:G16"/>
    <mergeCell ref="F24:G24"/>
    <mergeCell ref="F23:G23"/>
    <mergeCell ref="A2:I2"/>
    <mergeCell ref="K23:N26"/>
    <mergeCell ref="F3:G3"/>
    <mergeCell ref="F17:G17"/>
    <mergeCell ref="F25:H26"/>
    <mergeCell ref="F11:G11"/>
    <mergeCell ref="F12:G12"/>
    <mergeCell ref="F13:G13"/>
    <mergeCell ref="F18:G18"/>
    <mergeCell ref="F19:G19"/>
    <mergeCell ref="F14:G14"/>
    <mergeCell ref="I4:I6"/>
    <mergeCell ref="F4:G6"/>
    <mergeCell ref="H4:H6"/>
    <mergeCell ref="F15:G15"/>
    <mergeCell ref="F20:G20"/>
    <mergeCell ref="K27:N27"/>
    <mergeCell ref="K22:N22"/>
    <mergeCell ref="K2:O3"/>
    <mergeCell ref="K14:N20"/>
    <mergeCell ref="K6:N6"/>
    <mergeCell ref="K9:N11"/>
    <mergeCell ref="M8:N8"/>
  </mergeCells>
  <phoneticPr fontId="3" type="noConversion"/>
  <pageMargins left="0.39370078740157483" right="0.39370078740157483" top="0.78740157480314965" bottom="0.39370078740157483" header="0.51181102362204722" footer="0.11811023622047245"/>
  <pageSetup paperSize="9" scale="92" orientation="portrait" r:id="rId2"/>
  <headerFooter alignWithMargins="0">
    <oddFooter>&amp;C&amp;"Arial,Fett"Stand: April 2025</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3">
    <tabColor indexed="42"/>
    <pageSetUpPr fitToPage="1"/>
  </sheetPr>
  <dimension ref="A1:V101"/>
  <sheetViews>
    <sheetView zoomScaleNormal="100" workbookViewId="0">
      <selection activeCell="L41" sqref="L41"/>
    </sheetView>
  </sheetViews>
  <sheetFormatPr baseColWidth="10" defaultColWidth="11.42578125" defaultRowHeight="12.75" x14ac:dyDescent="0.2"/>
  <cols>
    <col min="1" max="6" width="11.42578125" style="12"/>
    <col min="7" max="7" width="15.28515625" style="12" customWidth="1"/>
    <col min="8" max="12" width="11.42578125" style="12"/>
    <col min="13" max="13" width="10.42578125" style="12" customWidth="1"/>
    <col min="14" max="16384" width="11.42578125" style="12"/>
  </cols>
  <sheetData>
    <row r="1" spans="1:22" ht="16.5" customHeight="1" thickBot="1" x14ac:dyDescent="0.3">
      <c r="A1" s="748" t="s">
        <v>9</v>
      </c>
      <c r="B1" s="749"/>
      <c r="C1" s="749"/>
      <c r="D1" s="749"/>
      <c r="E1" s="749"/>
      <c r="F1" s="749"/>
      <c r="G1" s="750"/>
      <c r="H1" s="59"/>
      <c r="I1" s="319" t="s">
        <v>237</v>
      </c>
      <c r="J1" s="59"/>
      <c r="K1" s="59"/>
      <c r="L1" s="59"/>
      <c r="M1" s="59"/>
      <c r="N1" s="59"/>
      <c r="O1" s="59"/>
      <c r="P1" s="59"/>
      <c r="Q1" s="59"/>
      <c r="R1" s="59"/>
      <c r="S1" s="59"/>
      <c r="T1" s="59"/>
      <c r="U1" s="59"/>
      <c r="V1" s="59"/>
    </row>
    <row r="2" spans="1:22" s="60" customFormat="1" ht="13.5" customHeight="1" thickBot="1" x14ac:dyDescent="0.3">
      <c r="A2" s="692" t="s">
        <v>216</v>
      </c>
      <c r="B2" s="693"/>
      <c r="C2" s="693"/>
      <c r="D2" s="693"/>
      <c r="E2" s="693"/>
      <c r="F2" s="693"/>
      <c r="G2" s="757"/>
      <c r="H2" s="93"/>
      <c r="I2" s="319"/>
      <c r="J2" s="59"/>
      <c r="K2" s="59"/>
      <c r="L2" s="59"/>
      <c r="M2" s="59"/>
      <c r="N2" s="59"/>
      <c r="O2" s="59"/>
      <c r="P2" s="93"/>
      <c r="Q2" s="93"/>
      <c r="R2" s="93"/>
      <c r="S2" s="93"/>
      <c r="T2" s="93"/>
      <c r="U2" s="93"/>
      <c r="V2" s="93"/>
    </row>
    <row r="3" spans="1:22" ht="12.75" customHeight="1" x14ac:dyDescent="0.2">
      <c r="A3" s="754" t="s">
        <v>308</v>
      </c>
      <c r="B3" s="761" t="s">
        <v>309</v>
      </c>
      <c r="C3" s="762"/>
      <c r="D3" s="751" t="s">
        <v>310</v>
      </c>
      <c r="E3" s="758" t="s">
        <v>311</v>
      </c>
      <c r="F3" s="751" t="s">
        <v>22</v>
      </c>
      <c r="G3" s="751" t="s">
        <v>312</v>
      </c>
      <c r="H3" s="59"/>
      <c r="I3" s="59" t="s">
        <v>313</v>
      </c>
      <c r="J3" s="59"/>
      <c r="K3" s="59"/>
      <c r="L3" s="59"/>
      <c r="M3" s="59"/>
      <c r="N3" s="93"/>
      <c r="O3" s="93"/>
      <c r="P3" s="59"/>
      <c r="Q3" s="59"/>
      <c r="R3" s="59"/>
      <c r="S3" s="59"/>
      <c r="T3" s="59"/>
      <c r="U3" s="59"/>
      <c r="V3" s="59"/>
    </row>
    <row r="4" spans="1:22" x14ac:dyDescent="0.2">
      <c r="A4" s="755"/>
      <c r="B4" s="763"/>
      <c r="C4" s="764"/>
      <c r="D4" s="752"/>
      <c r="E4" s="759"/>
      <c r="F4" s="752"/>
      <c r="G4" s="752"/>
      <c r="H4" s="59"/>
      <c r="I4" s="59" t="s">
        <v>314</v>
      </c>
      <c r="J4" s="59"/>
      <c r="K4" s="59"/>
      <c r="L4" s="59"/>
      <c r="M4" s="59"/>
      <c r="N4" s="59"/>
      <c r="O4" s="59"/>
      <c r="P4" s="59"/>
      <c r="Q4" s="59"/>
      <c r="R4" s="59"/>
      <c r="S4" s="59"/>
      <c r="T4" s="59"/>
      <c r="U4" s="59"/>
      <c r="V4" s="59"/>
    </row>
    <row r="5" spans="1:22" x14ac:dyDescent="0.2">
      <c r="A5" s="755"/>
      <c r="B5" s="763"/>
      <c r="C5" s="764"/>
      <c r="D5" s="752"/>
      <c r="E5" s="759"/>
      <c r="F5" s="752"/>
      <c r="G5" s="752"/>
      <c r="H5" s="59"/>
      <c r="I5" s="59"/>
      <c r="J5" s="59"/>
      <c r="K5" s="59"/>
      <c r="L5" s="59"/>
      <c r="M5" s="59"/>
      <c r="N5" s="59"/>
      <c r="O5" s="59"/>
      <c r="P5" s="59"/>
      <c r="Q5" s="59"/>
      <c r="R5" s="59"/>
      <c r="S5" s="59"/>
      <c r="T5" s="59"/>
      <c r="U5" s="59"/>
      <c r="V5" s="59"/>
    </row>
    <row r="6" spans="1:22" x14ac:dyDescent="0.2">
      <c r="A6" s="755"/>
      <c r="B6" s="763"/>
      <c r="C6" s="764"/>
      <c r="D6" s="752"/>
      <c r="E6" s="759"/>
      <c r="F6" s="752"/>
      <c r="G6" s="752"/>
      <c r="H6" s="59"/>
      <c r="I6" s="59"/>
      <c r="J6" s="59"/>
      <c r="K6" s="59"/>
      <c r="L6" s="59"/>
      <c r="M6" s="59"/>
      <c r="N6" s="59"/>
      <c r="O6" s="59"/>
      <c r="P6" s="59"/>
      <c r="Q6" s="59"/>
      <c r="R6" s="59"/>
      <c r="S6" s="59"/>
      <c r="T6" s="59"/>
      <c r="U6" s="59"/>
      <c r="V6" s="59"/>
    </row>
    <row r="7" spans="1:22" ht="13.5" thickBot="1" x14ac:dyDescent="0.25">
      <c r="A7" s="756"/>
      <c r="B7" s="765"/>
      <c r="C7" s="766"/>
      <c r="D7" s="752"/>
      <c r="E7" s="760"/>
      <c r="F7" s="753"/>
      <c r="G7" s="753"/>
      <c r="H7" s="59"/>
      <c r="I7" s="743" t="s">
        <v>18</v>
      </c>
      <c r="J7" s="744"/>
      <c r="K7" s="744"/>
      <c r="L7" s="744"/>
      <c r="M7" s="744"/>
      <c r="N7" s="744"/>
      <c r="O7" s="59"/>
      <c r="P7" s="59"/>
      <c r="Q7" s="59"/>
      <c r="R7" s="59"/>
      <c r="S7" s="59"/>
      <c r="T7" s="59"/>
      <c r="U7" s="59"/>
      <c r="V7" s="59"/>
    </row>
    <row r="8" spans="1:22" ht="13.5" thickBot="1" x14ac:dyDescent="0.25">
      <c r="A8" s="745" t="s">
        <v>315</v>
      </c>
      <c r="B8" s="746"/>
      <c r="C8" s="747"/>
      <c r="D8" s="55">
        <v>0</v>
      </c>
      <c r="E8" s="61"/>
      <c r="F8" s="62"/>
      <c r="G8" s="16">
        <f t="shared" ref="G8:G27" si="0">D8*F8</f>
        <v>0</v>
      </c>
      <c r="H8" s="59"/>
      <c r="I8" s="767" t="s">
        <v>19</v>
      </c>
      <c r="J8" s="767"/>
      <c r="K8" s="767" t="s">
        <v>20</v>
      </c>
      <c r="L8" s="767" t="s">
        <v>21</v>
      </c>
      <c r="M8" s="767" t="s">
        <v>22</v>
      </c>
      <c r="N8" s="767" t="s">
        <v>23</v>
      </c>
      <c r="O8" s="59"/>
      <c r="P8" s="59"/>
      <c r="Q8" s="59"/>
      <c r="R8" s="59"/>
      <c r="S8" s="59"/>
      <c r="T8" s="59"/>
      <c r="U8" s="59"/>
      <c r="V8" s="59"/>
    </row>
    <row r="9" spans="1:22" ht="13.5" thickBot="1" x14ac:dyDescent="0.25">
      <c r="A9" s="723" t="s">
        <v>316</v>
      </c>
      <c r="B9" s="724"/>
      <c r="C9" s="725"/>
      <c r="D9" s="55">
        <v>0</v>
      </c>
      <c r="E9" s="61"/>
      <c r="F9" s="63"/>
      <c r="G9" s="16">
        <f t="shared" si="0"/>
        <v>0</v>
      </c>
      <c r="H9" s="119"/>
      <c r="I9" s="767"/>
      <c r="J9" s="767"/>
      <c r="K9" s="767"/>
      <c r="L9" s="767"/>
      <c r="M9" s="767"/>
      <c r="N9" s="767"/>
      <c r="O9" s="59"/>
      <c r="P9" s="59"/>
      <c r="Q9" s="59"/>
      <c r="R9" s="59"/>
      <c r="S9" s="59"/>
      <c r="T9" s="59"/>
      <c r="U9" s="59"/>
      <c r="V9" s="59"/>
    </row>
    <row r="10" spans="1:22" ht="13.5" thickBot="1" x14ac:dyDescent="0.25">
      <c r="A10" s="723" t="s">
        <v>317</v>
      </c>
      <c r="B10" s="724"/>
      <c r="C10" s="725"/>
      <c r="D10" s="55">
        <v>0</v>
      </c>
      <c r="E10" s="61"/>
      <c r="F10" s="62"/>
      <c r="G10" s="16">
        <f t="shared" si="0"/>
        <v>0</v>
      </c>
      <c r="H10" s="59"/>
      <c r="I10" s="767"/>
      <c r="J10" s="767"/>
      <c r="K10" s="767"/>
      <c r="L10" s="767"/>
      <c r="M10" s="767"/>
      <c r="N10" s="767"/>
      <c r="O10" s="59"/>
      <c r="P10" s="59"/>
      <c r="Q10" s="59"/>
      <c r="R10" s="59"/>
      <c r="S10" s="59"/>
      <c r="T10" s="59"/>
      <c r="U10" s="59"/>
      <c r="V10" s="59"/>
    </row>
    <row r="11" spans="1:22" ht="13.5" thickBot="1" x14ac:dyDescent="0.25">
      <c r="A11" s="723" t="s">
        <v>318</v>
      </c>
      <c r="B11" s="724"/>
      <c r="C11" s="725"/>
      <c r="D11" s="55">
        <v>0</v>
      </c>
      <c r="E11" s="61"/>
      <c r="F11" s="64"/>
      <c r="G11" s="28">
        <f t="shared" si="0"/>
        <v>0</v>
      </c>
      <c r="H11" s="59"/>
      <c r="I11" s="767"/>
      <c r="J11" s="767"/>
      <c r="K11" s="767"/>
      <c r="L11" s="767"/>
      <c r="M11" s="767"/>
      <c r="N11" s="767"/>
      <c r="O11" s="59"/>
      <c r="P11" s="59"/>
      <c r="Q11" s="59"/>
      <c r="R11" s="59"/>
      <c r="S11" s="59"/>
      <c r="T11" s="59"/>
      <c r="U11" s="59"/>
      <c r="V11" s="59"/>
    </row>
    <row r="12" spans="1:22" ht="13.5" thickBot="1" x14ac:dyDescent="0.25">
      <c r="A12" s="723" t="s">
        <v>319</v>
      </c>
      <c r="B12" s="724"/>
      <c r="C12" s="725"/>
      <c r="D12" s="55">
        <v>0</v>
      </c>
      <c r="E12" s="61"/>
      <c r="F12" s="62"/>
      <c r="G12" s="16">
        <f t="shared" si="0"/>
        <v>0</v>
      </c>
      <c r="H12" s="59"/>
      <c r="I12" s="767"/>
      <c r="J12" s="767"/>
      <c r="K12" s="767"/>
      <c r="L12" s="767"/>
      <c r="M12" s="767"/>
      <c r="N12" s="767"/>
      <c r="O12" s="59"/>
      <c r="P12" s="59"/>
      <c r="Q12" s="59"/>
      <c r="R12" s="59"/>
      <c r="S12" s="59"/>
      <c r="T12" s="59"/>
      <c r="U12" s="59"/>
      <c r="V12" s="59"/>
    </row>
    <row r="13" spans="1:22" ht="13.5" thickBot="1" x14ac:dyDescent="0.25">
      <c r="A13" s="723" t="s">
        <v>320</v>
      </c>
      <c r="B13" s="724"/>
      <c r="C13" s="725"/>
      <c r="D13" s="55">
        <v>0</v>
      </c>
      <c r="E13" s="61"/>
      <c r="F13" s="63"/>
      <c r="G13" s="16">
        <f t="shared" si="0"/>
        <v>0</v>
      </c>
      <c r="H13" s="59"/>
      <c r="I13" s="780" t="s">
        <v>321</v>
      </c>
      <c r="J13" s="780"/>
      <c r="K13" s="178">
        <v>7.5</v>
      </c>
      <c r="L13" s="84" t="s">
        <v>322</v>
      </c>
      <c r="M13" s="84">
        <v>200</v>
      </c>
      <c r="N13" s="178">
        <f>M13*K13</f>
        <v>1500</v>
      </c>
      <c r="O13" s="59"/>
      <c r="P13" s="59"/>
      <c r="Q13" s="59"/>
      <c r="R13" s="59"/>
      <c r="S13" s="59"/>
      <c r="T13" s="59"/>
      <c r="U13" s="59"/>
      <c r="V13" s="59"/>
    </row>
    <row r="14" spans="1:22" ht="13.5" thickBot="1" x14ac:dyDescent="0.25">
      <c r="A14" s="723" t="s">
        <v>323</v>
      </c>
      <c r="B14" s="724"/>
      <c r="C14" s="725"/>
      <c r="D14" s="55">
        <v>0</v>
      </c>
      <c r="E14" s="61"/>
      <c r="F14" s="62"/>
      <c r="G14" s="16">
        <f t="shared" si="0"/>
        <v>0</v>
      </c>
      <c r="H14" s="59"/>
      <c r="I14" s="59"/>
      <c r="J14" s="59"/>
      <c r="K14" s="59"/>
      <c r="L14" s="59"/>
      <c r="M14" s="59"/>
      <c r="N14" s="59"/>
      <c r="O14" s="59"/>
      <c r="P14" s="59"/>
      <c r="Q14" s="59"/>
      <c r="R14" s="59"/>
      <c r="S14" s="59"/>
      <c r="T14" s="59"/>
      <c r="U14" s="59"/>
      <c r="V14" s="59"/>
    </row>
    <row r="15" spans="1:22" ht="13.5" thickBot="1" x14ac:dyDescent="0.25">
      <c r="A15" s="723" t="s">
        <v>324</v>
      </c>
      <c r="B15" s="724"/>
      <c r="C15" s="725"/>
      <c r="D15" s="55">
        <v>0</v>
      </c>
      <c r="E15" s="61"/>
      <c r="F15" s="64"/>
      <c r="G15" s="28">
        <f t="shared" si="0"/>
        <v>0</v>
      </c>
      <c r="H15" s="59"/>
      <c r="I15" s="59"/>
      <c r="J15" s="59"/>
      <c r="K15" s="59"/>
      <c r="L15" s="59"/>
      <c r="M15" s="59"/>
      <c r="N15" s="59"/>
      <c r="O15" s="59"/>
      <c r="P15" s="59"/>
      <c r="Q15" s="59"/>
      <c r="R15" s="59"/>
      <c r="S15" s="59"/>
      <c r="T15" s="59"/>
      <c r="U15" s="59"/>
      <c r="V15" s="59"/>
    </row>
    <row r="16" spans="1:22" ht="13.5" thickBot="1" x14ac:dyDescent="0.25">
      <c r="A16" s="723" t="s">
        <v>325</v>
      </c>
      <c r="B16" s="724"/>
      <c r="C16" s="725"/>
      <c r="D16" s="55">
        <v>0</v>
      </c>
      <c r="E16" s="61"/>
      <c r="F16" s="62"/>
      <c r="G16" s="16">
        <f t="shared" si="0"/>
        <v>0</v>
      </c>
      <c r="H16" s="59"/>
      <c r="I16" s="85" t="s">
        <v>326</v>
      </c>
      <c r="J16" s="85" t="s">
        <v>327</v>
      </c>
      <c r="K16" s="59"/>
      <c r="L16" s="59"/>
      <c r="M16" s="59"/>
      <c r="N16" s="59"/>
      <c r="O16" s="59"/>
      <c r="P16" s="59"/>
      <c r="Q16" s="59"/>
      <c r="R16" s="59"/>
      <c r="S16" s="59"/>
      <c r="T16" s="59"/>
      <c r="U16" s="59"/>
      <c r="V16" s="59"/>
    </row>
    <row r="17" spans="1:22" ht="13.5" customHeight="1" thickBot="1" x14ac:dyDescent="0.25">
      <c r="A17" s="723" t="s">
        <v>328</v>
      </c>
      <c r="B17" s="724"/>
      <c r="C17" s="725"/>
      <c r="D17" s="55">
        <v>0</v>
      </c>
      <c r="E17" s="61"/>
      <c r="F17" s="63"/>
      <c r="G17" s="16">
        <f t="shared" si="0"/>
        <v>0</v>
      </c>
      <c r="H17" s="59"/>
      <c r="I17" s="85" t="s">
        <v>322</v>
      </c>
      <c r="J17" s="85" t="s">
        <v>329</v>
      </c>
      <c r="K17" s="59"/>
      <c r="L17" s="59"/>
      <c r="M17" s="59"/>
      <c r="N17" s="59"/>
      <c r="O17" s="59"/>
      <c r="P17" s="59"/>
      <c r="Q17" s="59"/>
      <c r="R17" s="59"/>
      <c r="S17" s="59"/>
      <c r="T17" s="59"/>
      <c r="U17" s="59"/>
      <c r="V17" s="59"/>
    </row>
    <row r="18" spans="1:22" ht="13.5" thickBot="1" x14ac:dyDescent="0.25">
      <c r="A18" s="723" t="s">
        <v>330</v>
      </c>
      <c r="B18" s="724"/>
      <c r="C18" s="725"/>
      <c r="D18" s="55">
        <v>0</v>
      </c>
      <c r="E18" s="61"/>
      <c r="F18" s="62"/>
      <c r="G18" s="16">
        <f t="shared" si="0"/>
        <v>0</v>
      </c>
      <c r="H18" s="59"/>
      <c r="I18" s="85" t="s">
        <v>25</v>
      </c>
      <c r="J18" s="85" t="s">
        <v>331</v>
      </c>
      <c r="K18" s="59"/>
      <c r="L18" s="59"/>
      <c r="M18" s="59"/>
      <c r="N18" s="59"/>
      <c r="O18" s="59"/>
      <c r="P18" s="59"/>
      <c r="Q18" s="59"/>
      <c r="R18" s="59"/>
      <c r="S18" s="59"/>
      <c r="T18" s="59"/>
      <c r="U18" s="59"/>
      <c r="V18" s="59"/>
    </row>
    <row r="19" spans="1:22" ht="13.5" thickBot="1" x14ac:dyDescent="0.25">
      <c r="A19" s="723" t="s">
        <v>332</v>
      </c>
      <c r="B19" s="724"/>
      <c r="C19" s="725"/>
      <c r="D19" s="55">
        <v>0</v>
      </c>
      <c r="E19" s="61"/>
      <c r="F19" s="64"/>
      <c r="G19" s="28">
        <f t="shared" si="0"/>
        <v>0</v>
      </c>
      <c r="H19" s="59"/>
      <c r="I19" s="59"/>
      <c r="J19" s="59"/>
      <c r="K19" s="59"/>
      <c r="L19" s="59"/>
      <c r="M19" s="59"/>
      <c r="N19" s="59"/>
      <c r="O19" s="59"/>
      <c r="P19" s="59"/>
      <c r="Q19" s="59"/>
      <c r="R19" s="59"/>
      <c r="S19" s="59"/>
      <c r="T19" s="59"/>
      <c r="U19" s="59"/>
      <c r="V19" s="59"/>
    </row>
    <row r="20" spans="1:22" ht="13.5" thickBot="1" x14ac:dyDescent="0.25">
      <c r="A20" s="723" t="s">
        <v>333</v>
      </c>
      <c r="B20" s="724"/>
      <c r="C20" s="725"/>
      <c r="D20" s="55">
        <v>0</v>
      </c>
      <c r="E20" s="61"/>
      <c r="F20" s="62"/>
      <c r="G20" s="16">
        <f t="shared" si="0"/>
        <v>0</v>
      </c>
      <c r="H20" s="59"/>
      <c r="I20" s="59"/>
      <c r="J20" s="59"/>
      <c r="K20" s="59"/>
      <c r="L20" s="59"/>
      <c r="M20" s="59"/>
      <c r="N20" s="59"/>
      <c r="O20" s="59"/>
      <c r="P20" s="59"/>
      <c r="Q20" s="59"/>
      <c r="R20" s="59"/>
      <c r="S20" s="59"/>
      <c r="T20" s="59"/>
      <c r="U20" s="59"/>
      <c r="V20" s="59"/>
    </row>
    <row r="21" spans="1:22" ht="13.5" thickBot="1" x14ac:dyDescent="0.25">
      <c r="A21" s="723" t="s">
        <v>334</v>
      </c>
      <c r="B21" s="724"/>
      <c r="C21" s="725"/>
      <c r="D21" s="55">
        <v>0</v>
      </c>
      <c r="E21" s="61"/>
      <c r="F21" s="63"/>
      <c r="G21" s="16">
        <f t="shared" si="0"/>
        <v>0</v>
      </c>
      <c r="H21" s="59"/>
      <c r="I21" s="326" t="s">
        <v>276</v>
      </c>
      <c r="J21" s="327"/>
      <c r="K21" s="343"/>
      <c r="L21" s="59"/>
      <c r="M21" s="59"/>
      <c r="N21" s="59"/>
      <c r="O21" s="59"/>
      <c r="P21" s="59"/>
      <c r="Q21" s="59"/>
      <c r="R21" s="59"/>
      <c r="S21" s="59"/>
      <c r="T21" s="59"/>
      <c r="U21" s="59"/>
      <c r="V21" s="59"/>
    </row>
    <row r="22" spans="1:22" ht="13.5" thickBot="1" x14ac:dyDescent="0.25">
      <c r="A22" s="723" t="s">
        <v>335</v>
      </c>
      <c r="B22" s="724"/>
      <c r="C22" s="725"/>
      <c r="D22" s="55">
        <v>0</v>
      </c>
      <c r="E22" s="61"/>
      <c r="F22" s="62"/>
      <c r="G22" s="16">
        <f t="shared" si="0"/>
        <v>0</v>
      </c>
      <c r="H22" s="59"/>
      <c r="I22" s="328" t="s">
        <v>7</v>
      </c>
      <c r="J22" s="329"/>
      <c r="K22" s="344"/>
      <c r="L22" s="59"/>
      <c r="M22" s="59"/>
      <c r="N22" s="59"/>
      <c r="O22" s="59"/>
      <c r="P22" s="59"/>
      <c r="Q22" s="59"/>
      <c r="R22" s="59"/>
      <c r="S22" s="59"/>
      <c r="T22" s="59"/>
      <c r="U22" s="59"/>
      <c r="V22" s="59"/>
    </row>
    <row r="23" spans="1:22" ht="13.5" thickBot="1" x14ac:dyDescent="0.25">
      <c r="A23" s="723" t="s">
        <v>336</v>
      </c>
      <c r="B23" s="724"/>
      <c r="C23" s="725"/>
      <c r="D23" s="55">
        <v>0</v>
      </c>
      <c r="E23" s="61"/>
      <c r="F23" s="64"/>
      <c r="G23" s="28">
        <f t="shared" si="0"/>
        <v>0</v>
      </c>
      <c r="H23" s="59"/>
      <c r="I23" s="330" t="s">
        <v>8</v>
      </c>
      <c r="J23" s="331"/>
      <c r="K23" s="321"/>
      <c r="L23" s="59"/>
      <c r="M23" s="59"/>
      <c r="N23" s="59"/>
      <c r="O23" s="59"/>
      <c r="P23" s="59"/>
      <c r="Q23" s="59"/>
      <c r="R23" s="59"/>
      <c r="S23" s="59"/>
      <c r="T23" s="59"/>
      <c r="U23" s="59"/>
      <c r="V23" s="59"/>
    </row>
    <row r="24" spans="1:22" ht="13.5" customHeight="1" thickBot="1" x14ac:dyDescent="0.25">
      <c r="A24" s="723" t="s">
        <v>337</v>
      </c>
      <c r="B24" s="724"/>
      <c r="C24" s="725"/>
      <c r="D24" s="55">
        <v>0</v>
      </c>
      <c r="E24" s="61"/>
      <c r="F24" s="62"/>
      <c r="G24" s="16">
        <f t="shared" si="0"/>
        <v>0</v>
      </c>
      <c r="H24" s="59"/>
      <c r="I24" s="330" t="s">
        <v>9</v>
      </c>
      <c r="J24" s="331"/>
      <c r="K24" s="321"/>
      <c r="L24" s="59"/>
      <c r="M24" s="59"/>
      <c r="N24" s="59"/>
      <c r="O24" s="59"/>
      <c r="P24" s="59"/>
      <c r="Q24" s="59"/>
      <c r="R24" s="59"/>
      <c r="S24" s="59"/>
      <c r="T24" s="59"/>
      <c r="U24" s="59"/>
      <c r="V24" s="59"/>
    </row>
    <row r="25" spans="1:22" ht="13.5" thickBot="1" x14ac:dyDescent="0.25">
      <c r="A25" s="723" t="s">
        <v>338</v>
      </c>
      <c r="B25" s="724"/>
      <c r="C25" s="725"/>
      <c r="D25" s="55">
        <v>0</v>
      </c>
      <c r="E25" s="61"/>
      <c r="F25" s="63"/>
      <c r="G25" s="16">
        <f t="shared" si="0"/>
        <v>0</v>
      </c>
      <c r="H25" s="59"/>
      <c r="I25" s="330" t="s">
        <v>277</v>
      </c>
      <c r="J25" s="331"/>
      <c r="K25" s="321"/>
      <c r="L25" s="59"/>
      <c r="M25" s="59"/>
      <c r="N25" s="59"/>
      <c r="O25" s="59"/>
      <c r="P25" s="59"/>
      <c r="Q25" s="59"/>
      <c r="R25" s="59"/>
      <c r="S25" s="59"/>
      <c r="T25" s="59"/>
      <c r="U25" s="59"/>
      <c r="V25" s="59"/>
    </row>
    <row r="26" spans="1:22" ht="13.5" thickBot="1" x14ac:dyDescent="0.25">
      <c r="A26" s="723" t="s">
        <v>339</v>
      </c>
      <c r="B26" s="724"/>
      <c r="C26" s="725"/>
      <c r="D26" s="55">
        <v>0</v>
      </c>
      <c r="E26" s="61"/>
      <c r="F26" s="62"/>
      <c r="G26" s="16">
        <f t="shared" si="0"/>
        <v>0</v>
      </c>
      <c r="H26" s="59"/>
      <c r="I26" s="330" t="s">
        <v>11</v>
      </c>
      <c r="J26" s="331"/>
      <c r="K26" s="321"/>
      <c r="L26" s="59"/>
      <c r="M26" s="59"/>
      <c r="N26" s="59"/>
      <c r="O26" s="59"/>
      <c r="P26" s="59"/>
      <c r="Q26" s="59"/>
      <c r="R26" s="59"/>
      <c r="S26" s="59"/>
      <c r="T26" s="59"/>
      <c r="U26" s="59"/>
      <c r="V26" s="59"/>
    </row>
    <row r="27" spans="1:22" ht="13.5" thickBot="1" x14ac:dyDescent="0.25">
      <c r="A27" s="723" t="s">
        <v>340</v>
      </c>
      <c r="B27" s="724"/>
      <c r="C27" s="725"/>
      <c r="D27" s="55">
        <v>0</v>
      </c>
      <c r="E27" s="61"/>
      <c r="F27" s="64"/>
      <c r="G27" s="28">
        <f t="shared" si="0"/>
        <v>0</v>
      </c>
      <c r="H27" s="59"/>
      <c r="I27" s="332" t="s">
        <v>15</v>
      </c>
      <c r="J27" s="333"/>
      <c r="K27" s="345"/>
      <c r="L27" s="59"/>
      <c r="M27" s="59"/>
      <c r="N27" s="59"/>
      <c r="O27" s="59"/>
      <c r="P27" s="59"/>
      <c r="Q27" s="59"/>
      <c r="R27" s="59"/>
      <c r="S27" s="59"/>
      <c r="T27" s="59"/>
      <c r="U27" s="59"/>
      <c r="V27" s="59"/>
    </row>
    <row r="28" spans="1:22" ht="15.75" customHeight="1" x14ac:dyDescent="0.2">
      <c r="A28" s="768" t="s">
        <v>341</v>
      </c>
      <c r="B28" s="769"/>
      <c r="C28" s="769"/>
      <c r="D28" s="770"/>
      <c r="E28" s="774" t="s">
        <v>273</v>
      </c>
      <c r="F28" s="775"/>
      <c r="G28" s="781">
        <f>SUM(G8:G27)</f>
        <v>0</v>
      </c>
      <c r="H28" s="59"/>
      <c r="I28" s="59"/>
      <c r="J28" s="59"/>
      <c r="K28" s="59"/>
      <c r="L28" s="59"/>
      <c r="M28" s="59"/>
      <c r="N28" s="59"/>
      <c r="O28" s="59"/>
      <c r="P28" s="59"/>
      <c r="Q28" s="59"/>
      <c r="R28" s="59"/>
      <c r="S28" s="59"/>
      <c r="T28" s="59"/>
      <c r="U28" s="59"/>
      <c r="V28" s="59"/>
    </row>
    <row r="29" spans="1:22" ht="13.5" thickBot="1" x14ac:dyDescent="0.25">
      <c r="A29" s="771"/>
      <c r="B29" s="772"/>
      <c r="C29" s="772"/>
      <c r="D29" s="773"/>
      <c r="E29" s="776"/>
      <c r="F29" s="777"/>
      <c r="G29" s="782"/>
      <c r="H29" s="59"/>
      <c r="I29" s="59"/>
      <c r="J29" s="59"/>
      <c r="K29" s="59"/>
      <c r="L29" s="59"/>
      <c r="M29" s="59"/>
      <c r="N29" s="59"/>
      <c r="O29" s="59"/>
      <c r="P29" s="59"/>
      <c r="Q29" s="59"/>
      <c r="R29" s="59"/>
      <c r="S29" s="59"/>
      <c r="T29" s="59"/>
      <c r="U29" s="59"/>
      <c r="V29" s="59"/>
    </row>
    <row r="30" spans="1:22" ht="15.75" thickBot="1" x14ac:dyDescent="0.25">
      <c r="A30" s="59"/>
      <c r="B30" s="59"/>
      <c r="C30" s="59"/>
      <c r="D30" s="59"/>
      <c r="E30" s="59"/>
      <c r="F30" s="59"/>
      <c r="G30" s="75"/>
      <c r="H30" s="59"/>
      <c r="I30" s="59"/>
      <c r="J30" s="59"/>
      <c r="K30" s="59"/>
      <c r="L30" s="59"/>
      <c r="M30" s="59"/>
      <c r="N30" s="59"/>
      <c r="O30" s="59"/>
      <c r="P30" s="59"/>
      <c r="Q30" s="59"/>
      <c r="R30" s="59"/>
      <c r="S30" s="59"/>
      <c r="T30" s="59"/>
      <c r="U30" s="59"/>
      <c r="V30" s="59"/>
    </row>
    <row r="31" spans="1:22" ht="12.75" customHeight="1" x14ac:dyDescent="0.2">
      <c r="A31" s="768" t="s">
        <v>342</v>
      </c>
      <c r="B31" s="769"/>
      <c r="C31" s="769"/>
      <c r="D31" s="770"/>
      <c r="E31" s="774" t="s">
        <v>273</v>
      </c>
      <c r="F31" s="775"/>
      <c r="G31" s="778">
        <v>0</v>
      </c>
      <c r="H31" s="59"/>
      <c r="I31" s="59"/>
      <c r="J31" s="59"/>
      <c r="K31" s="59"/>
      <c r="L31" s="73"/>
      <c r="M31" s="59"/>
      <c r="N31" s="59"/>
      <c r="O31" s="59"/>
      <c r="P31" s="59"/>
      <c r="Q31" s="59"/>
      <c r="R31" s="59"/>
      <c r="S31" s="59"/>
      <c r="T31" s="59"/>
      <c r="U31" s="59"/>
      <c r="V31" s="59"/>
    </row>
    <row r="32" spans="1:22" ht="13.5" customHeight="1" thickBot="1" x14ac:dyDescent="0.25">
      <c r="A32" s="771"/>
      <c r="B32" s="772"/>
      <c r="C32" s="772"/>
      <c r="D32" s="773"/>
      <c r="E32" s="776"/>
      <c r="F32" s="777"/>
      <c r="G32" s="779"/>
      <c r="H32" s="59"/>
      <c r="I32" s="59"/>
      <c r="J32" s="59"/>
      <c r="K32" s="59"/>
      <c r="L32" s="73"/>
      <c r="M32" s="59"/>
      <c r="N32" s="59"/>
      <c r="O32" s="59"/>
      <c r="P32" s="59"/>
      <c r="Q32" s="59"/>
      <c r="R32" s="59"/>
      <c r="S32" s="59"/>
      <c r="T32" s="59"/>
      <c r="U32" s="59"/>
      <c r="V32" s="59"/>
    </row>
    <row r="33" spans="1:22" x14ac:dyDescent="0.2">
      <c r="A33" s="59"/>
      <c r="B33" s="59"/>
      <c r="C33" s="59"/>
      <c r="D33" s="59"/>
      <c r="E33" s="59"/>
      <c r="F33" s="59"/>
      <c r="G33" s="59"/>
      <c r="H33" s="59"/>
      <c r="I33" s="73"/>
      <c r="J33" s="73"/>
      <c r="K33" s="73"/>
      <c r="L33" s="73"/>
      <c r="M33" s="59"/>
      <c r="N33" s="59"/>
      <c r="O33" s="59"/>
      <c r="P33" s="59"/>
      <c r="Q33" s="59"/>
      <c r="R33" s="59"/>
      <c r="S33" s="59"/>
      <c r="T33" s="59"/>
      <c r="U33" s="59"/>
      <c r="V33" s="59"/>
    </row>
    <row r="34" spans="1:22" x14ac:dyDescent="0.2">
      <c r="A34" s="127"/>
      <c r="B34" s="127"/>
      <c r="C34" s="59"/>
      <c r="D34" s="59"/>
      <c r="E34" s="127"/>
      <c r="F34" s="127"/>
      <c r="G34" s="127"/>
      <c r="H34" s="59"/>
      <c r="I34" s="73"/>
      <c r="J34" s="73"/>
      <c r="K34" s="73"/>
      <c r="L34" s="73"/>
      <c r="M34" s="59"/>
      <c r="N34" s="59"/>
      <c r="O34" s="59"/>
      <c r="P34" s="59"/>
      <c r="Q34" s="59"/>
      <c r="R34" s="59"/>
      <c r="S34" s="59"/>
      <c r="T34" s="59"/>
      <c r="U34" s="59"/>
      <c r="V34" s="59"/>
    </row>
    <row r="35" spans="1:22" x14ac:dyDescent="0.2">
      <c r="A35" s="59"/>
      <c r="B35" s="59"/>
      <c r="C35" s="59"/>
      <c r="D35" s="59"/>
      <c r="E35" s="59"/>
      <c r="F35" s="59"/>
      <c r="G35" s="59"/>
      <c r="H35" s="59"/>
      <c r="I35" s="73"/>
      <c r="J35" s="59"/>
      <c r="K35" s="59"/>
      <c r="L35" s="73"/>
      <c r="M35" s="59"/>
      <c r="N35" s="59"/>
      <c r="O35" s="59"/>
      <c r="P35" s="59"/>
      <c r="Q35" s="59"/>
      <c r="R35" s="59"/>
      <c r="S35" s="59"/>
      <c r="T35" s="59"/>
      <c r="U35" s="59"/>
      <c r="V35" s="59"/>
    </row>
    <row r="36" spans="1:22" x14ac:dyDescent="0.2">
      <c r="A36" s="59"/>
      <c r="B36" s="59"/>
      <c r="C36" s="59"/>
      <c r="D36" s="59"/>
      <c r="E36" s="59"/>
      <c r="F36" s="59"/>
      <c r="G36" s="59"/>
      <c r="H36" s="59"/>
      <c r="I36" s="73"/>
      <c r="J36" s="59"/>
      <c r="K36" s="59"/>
      <c r="L36" s="73"/>
      <c r="M36" s="59"/>
      <c r="N36" s="59"/>
      <c r="O36" s="59"/>
      <c r="P36" s="59"/>
      <c r="Q36" s="59"/>
      <c r="R36" s="59"/>
      <c r="S36" s="59"/>
      <c r="T36" s="59"/>
      <c r="U36" s="59"/>
      <c r="V36" s="59"/>
    </row>
    <row r="37" spans="1:22" x14ac:dyDescent="0.2">
      <c r="A37" s="59"/>
      <c r="B37" s="59"/>
      <c r="C37" s="59"/>
      <c r="D37" s="59"/>
      <c r="E37" s="59"/>
      <c r="F37" s="59"/>
      <c r="G37" s="59"/>
      <c r="H37" s="59"/>
      <c r="I37" s="73"/>
      <c r="J37" s="59"/>
      <c r="K37" s="59"/>
      <c r="L37" s="73"/>
      <c r="M37" s="59"/>
      <c r="N37" s="59"/>
      <c r="O37" s="59"/>
      <c r="P37" s="59"/>
      <c r="Q37" s="59"/>
      <c r="R37" s="59"/>
      <c r="S37" s="59"/>
      <c r="T37" s="59"/>
      <c r="U37" s="59"/>
      <c r="V37" s="59"/>
    </row>
    <row r="38" spans="1:22" x14ac:dyDescent="0.2">
      <c r="A38" s="59"/>
      <c r="B38" s="59"/>
      <c r="C38" s="59"/>
      <c r="D38" s="59"/>
      <c r="E38" s="59"/>
      <c r="F38" s="59"/>
      <c r="G38" s="59"/>
      <c r="H38" s="59"/>
      <c r="I38" s="73"/>
      <c r="J38" s="73"/>
      <c r="K38" s="73"/>
      <c r="L38" s="73"/>
      <c r="M38" s="59"/>
      <c r="N38" s="59"/>
      <c r="O38" s="59"/>
      <c r="P38" s="59"/>
      <c r="Q38" s="59"/>
      <c r="R38" s="59"/>
      <c r="S38" s="59"/>
      <c r="T38" s="59"/>
      <c r="U38" s="59"/>
      <c r="V38" s="59"/>
    </row>
    <row r="39" spans="1:22" x14ac:dyDescent="0.2">
      <c r="A39" s="59"/>
      <c r="B39" s="59"/>
      <c r="C39" s="59"/>
      <c r="D39" s="59"/>
      <c r="E39" s="59"/>
      <c r="F39" s="59"/>
      <c r="G39" s="59"/>
      <c r="H39" s="59"/>
      <c r="I39" s="59"/>
      <c r="J39" s="59"/>
      <c r="K39" s="59"/>
      <c r="L39" s="59"/>
      <c r="M39" s="59"/>
      <c r="N39" s="59"/>
      <c r="O39" s="59"/>
      <c r="P39" s="59"/>
      <c r="Q39" s="59"/>
      <c r="R39" s="59"/>
      <c r="S39" s="59"/>
      <c r="T39" s="59"/>
      <c r="U39" s="59"/>
      <c r="V39" s="59"/>
    </row>
    <row r="40" spans="1:22" x14ac:dyDescent="0.2">
      <c r="A40" s="59"/>
      <c r="B40" s="59"/>
      <c r="C40" s="59"/>
      <c r="D40" s="59"/>
      <c r="E40" s="59"/>
      <c r="F40" s="59"/>
      <c r="G40" s="59"/>
      <c r="H40" s="59"/>
      <c r="I40" s="59"/>
      <c r="J40" s="59"/>
      <c r="K40" s="59"/>
      <c r="L40" s="59"/>
      <c r="M40" s="59"/>
      <c r="N40" s="59"/>
      <c r="O40" s="59"/>
      <c r="P40" s="59"/>
      <c r="Q40" s="59"/>
      <c r="R40" s="59"/>
      <c r="S40" s="59"/>
      <c r="T40" s="59"/>
      <c r="U40" s="59"/>
      <c r="V40" s="59"/>
    </row>
    <row r="41" spans="1:22" x14ac:dyDescent="0.2">
      <c r="A41" s="59"/>
      <c r="B41" s="59"/>
      <c r="C41" s="59"/>
      <c r="D41" s="59"/>
      <c r="E41" s="59"/>
      <c r="F41" s="59"/>
      <c r="G41" s="59"/>
      <c r="H41" s="59"/>
      <c r="I41" s="59"/>
      <c r="J41" s="59"/>
      <c r="K41" s="59"/>
      <c r="L41" s="59"/>
      <c r="M41" s="59"/>
      <c r="N41" s="59"/>
      <c r="O41" s="59"/>
      <c r="P41" s="59"/>
      <c r="Q41" s="59"/>
      <c r="R41" s="59"/>
      <c r="S41" s="59"/>
      <c r="T41" s="59"/>
      <c r="U41" s="59"/>
      <c r="V41" s="59"/>
    </row>
    <row r="42" spans="1:22" x14ac:dyDescent="0.2">
      <c r="A42" s="59"/>
      <c r="B42" s="59"/>
      <c r="C42" s="59"/>
      <c r="D42" s="59"/>
      <c r="E42" s="59"/>
      <c r="F42" s="59"/>
      <c r="G42" s="59"/>
      <c r="H42" s="59"/>
      <c r="I42" s="59"/>
      <c r="J42" s="59"/>
      <c r="K42" s="59"/>
      <c r="L42" s="59"/>
      <c r="M42" s="59"/>
      <c r="N42" s="59"/>
      <c r="O42" s="59"/>
      <c r="P42" s="59"/>
      <c r="Q42" s="59"/>
      <c r="R42" s="59"/>
      <c r="S42" s="59"/>
      <c r="T42" s="59"/>
      <c r="U42" s="59"/>
      <c r="V42" s="59"/>
    </row>
    <row r="43" spans="1:22" x14ac:dyDescent="0.2">
      <c r="A43" s="59"/>
      <c r="B43" s="59"/>
      <c r="C43" s="59"/>
      <c r="D43" s="59"/>
      <c r="E43" s="59"/>
      <c r="F43" s="59"/>
      <c r="G43" s="59"/>
      <c r="H43" s="59"/>
      <c r="I43" s="59"/>
      <c r="J43" s="59"/>
      <c r="K43" s="59"/>
      <c r="L43" s="59"/>
      <c r="M43" s="59"/>
      <c r="N43" s="59"/>
      <c r="O43" s="59"/>
      <c r="P43" s="59"/>
      <c r="Q43" s="59"/>
      <c r="R43" s="59"/>
      <c r="S43" s="59"/>
      <c r="T43" s="59"/>
      <c r="U43" s="59"/>
      <c r="V43" s="59"/>
    </row>
    <row r="44" spans="1:22" x14ac:dyDescent="0.2">
      <c r="A44" s="59"/>
      <c r="B44" s="59"/>
      <c r="C44" s="59"/>
      <c r="D44" s="59"/>
      <c r="E44" s="59"/>
      <c r="F44" s="59"/>
      <c r="G44" s="59"/>
      <c r="H44" s="72"/>
      <c r="I44" s="59"/>
      <c r="J44" s="59"/>
      <c r="K44" s="59"/>
      <c r="L44" s="59"/>
      <c r="M44" s="59"/>
      <c r="N44" s="59"/>
      <c r="O44" s="59"/>
      <c r="P44" s="59"/>
      <c r="Q44" s="59"/>
      <c r="R44" s="59"/>
      <c r="S44" s="59"/>
      <c r="T44" s="59"/>
      <c r="U44" s="59"/>
      <c r="V44" s="59"/>
    </row>
    <row r="45" spans="1:22" x14ac:dyDescent="0.2">
      <c r="A45" s="59"/>
      <c r="B45" s="59"/>
      <c r="C45" s="59"/>
      <c r="D45" s="59"/>
      <c r="E45" s="59"/>
      <c r="F45" s="59"/>
      <c r="G45" s="59"/>
      <c r="H45" s="59"/>
      <c r="I45" s="59"/>
      <c r="J45" s="59"/>
      <c r="K45" s="59"/>
      <c r="L45" s="59"/>
      <c r="M45" s="59"/>
      <c r="N45" s="59"/>
      <c r="O45" s="59"/>
      <c r="P45" s="59"/>
      <c r="Q45" s="59"/>
      <c r="R45" s="59"/>
      <c r="S45" s="59"/>
      <c r="T45" s="59"/>
      <c r="U45" s="59"/>
      <c r="V45" s="59"/>
    </row>
    <row r="46" spans="1:22" x14ac:dyDescent="0.2">
      <c r="A46" s="59"/>
      <c r="B46" s="59"/>
      <c r="C46" s="59"/>
      <c r="D46" s="59"/>
      <c r="E46" s="59"/>
      <c r="F46" s="59"/>
      <c r="G46" s="59"/>
      <c r="H46" s="59"/>
      <c r="I46" s="59"/>
      <c r="J46" s="59"/>
      <c r="K46" s="59"/>
      <c r="L46" s="59"/>
      <c r="M46" s="59"/>
      <c r="N46" s="59"/>
      <c r="O46" s="59"/>
      <c r="P46" s="59"/>
      <c r="Q46" s="59"/>
      <c r="R46" s="59"/>
      <c r="S46" s="59"/>
      <c r="T46" s="59"/>
      <c r="U46" s="59"/>
      <c r="V46" s="59"/>
    </row>
    <row r="47" spans="1:22" x14ac:dyDescent="0.2">
      <c r="A47" s="59"/>
      <c r="B47" s="59"/>
      <c r="C47" s="59"/>
      <c r="D47" s="59"/>
      <c r="E47" s="59"/>
      <c r="F47" s="59"/>
      <c r="G47" s="59"/>
      <c r="H47" s="59"/>
      <c r="I47" s="59"/>
      <c r="J47" s="59"/>
      <c r="K47" s="59"/>
      <c r="L47" s="59"/>
      <c r="M47" s="59"/>
      <c r="N47" s="59"/>
      <c r="O47" s="59"/>
      <c r="P47" s="59"/>
      <c r="Q47" s="59"/>
      <c r="R47" s="59"/>
      <c r="S47" s="59"/>
      <c r="T47" s="59"/>
      <c r="U47" s="59"/>
      <c r="V47" s="59"/>
    </row>
    <row r="48" spans="1:22" x14ac:dyDescent="0.2">
      <c r="A48" s="59"/>
      <c r="B48" s="59"/>
      <c r="C48" s="59"/>
      <c r="D48" s="59"/>
      <c r="E48" s="59"/>
      <c r="F48" s="59"/>
      <c r="G48" s="59"/>
      <c r="H48" s="59"/>
      <c r="I48" s="59"/>
      <c r="J48" s="59"/>
      <c r="K48" s="59"/>
      <c r="L48" s="59"/>
      <c r="M48" s="59"/>
      <c r="N48" s="59"/>
      <c r="O48" s="59"/>
      <c r="P48" s="59"/>
      <c r="Q48" s="59"/>
      <c r="R48" s="59"/>
      <c r="S48" s="59"/>
      <c r="T48" s="59"/>
      <c r="U48" s="59"/>
      <c r="V48" s="59"/>
    </row>
    <row r="49" spans="1:22" x14ac:dyDescent="0.2">
      <c r="A49" s="59"/>
      <c r="B49" s="59"/>
      <c r="C49" s="59"/>
      <c r="D49" s="59"/>
      <c r="E49" s="59"/>
      <c r="F49" s="59"/>
      <c r="G49" s="59"/>
      <c r="H49" s="59"/>
      <c r="I49" s="59"/>
      <c r="J49" s="59"/>
      <c r="K49" s="59"/>
      <c r="L49" s="59"/>
      <c r="M49" s="59"/>
      <c r="N49" s="59"/>
      <c r="O49" s="59"/>
      <c r="P49" s="59"/>
      <c r="Q49" s="59"/>
      <c r="R49" s="59"/>
      <c r="S49" s="59"/>
      <c r="T49" s="59"/>
      <c r="U49" s="59"/>
      <c r="V49" s="59"/>
    </row>
    <row r="50" spans="1:22" x14ac:dyDescent="0.2">
      <c r="A50" s="59"/>
      <c r="B50" s="59"/>
      <c r="C50" s="59"/>
      <c r="D50" s="59"/>
      <c r="E50" s="59"/>
      <c r="F50" s="59"/>
      <c r="G50" s="59"/>
      <c r="H50" s="59"/>
      <c r="I50" s="59"/>
      <c r="J50" s="59"/>
      <c r="K50" s="59"/>
      <c r="L50" s="59"/>
      <c r="M50" s="59"/>
      <c r="N50" s="59"/>
      <c r="O50" s="59"/>
      <c r="P50" s="59"/>
      <c r="Q50" s="59"/>
      <c r="R50" s="59"/>
      <c r="S50" s="59"/>
      <c r="T50" s="59"/>
      <c r="U50" s="59"/>
      <c r="V50" s="59"/>
    </row>
    <row r="51" spans="1:22" x14ac:dyDescent="0.2">
      <c r="A51" s="59"/>
      <c r="B51" s="59"/>
      <c r="C51" s="59"/>
      <c r="D51" s="59"/>
      <c r="E51" s="59"/>
      <c r="F51" s="59"/>
      <c r="G51" s="59"/>
      <c r="H51" s="59"/>
      <c r="I51" s="59"/>
      <c r="J51" s="59"/>
      <c r="K51" s="59"/>
      <c r="L51" s="59"/>
      <c r="M51" s="59"/>
      <c r="N51" s="59"/>
      <c r="O51" s="59"/>
      <c r="P51" s="59"/>
      <c r="Q51" s="59"/>
      <c r="R51" s="59"/>
      <c r="S51" s="59"/>
      <c r="T51" s="59"/>
      <c r="U51" s="59"/>
      <c r="V51" s="59"/>
    </row>
    <row r="52" spans="1:22" x14ac:dyDescent="0.2">
      <c r="A52" s="59"/>
      <c r="B52" s="59"/>
      <c r="C52" s="59"/>
      <c r="D52" s="59"/>
      <c r="E52" s="59"/>
      <c r="F52" s="59"/>
      <c r="G52" s="59"/>
      <c r="H52" s="59"/>
      <c r="I52" s="59"/>
      <c r="J52" s="59"/>
      <c r="K52" s="59"/>
      <c r="L52" s="59"/>
      <c r="M52" s="59"/>
      <c r="N52" s="59"/>
      <c r="O52" s="59"/>
      <c r="P52" s="59"/>
      <c r="Q52" s="59"/>
      <c r="R52" s="59"/>
      <c r="S52" s="59"/>
      <c r="T52" s="59"/>
      <c r="U52" s="59"/>
      <c r="V52" s="59"/>
    </row>
    <row r="53" spans="1:22" x14ac:dyDescent="0.2">
      <c r="A53" s="59"/>
      <c r="B53" s="59"/>
      <c r="C53" s="59"/>
      <c r="D53" s="59"/>
      <c r="E53" s="59"/>
      <c r="F53" s="59"/>
      <c r="G53" s="59"/>
      <c r="H53" s="59"/>
      <c r="I53" s="59"/>
      <c r="J53" s="59"/>
      <c r="K53" s="59"/>
      <c r="L53" s="59"/>
      <c r="M53" s="59"/>
      <c r="N53" s="59"/>
      <c r="O53" s="59"/>
      <c r="P53" s="59"/>
      <c r="Q53" s="59"/>
      <c r="R53" s="59"/>
      <c r="S53" s="59"/>
      <c r="T53" s="59"/>
      <c r="U53" s="59"/>
      <c r="V53" s="59"/>
    </row>
    <row r="54" spans="1:22" x14ac:dyDescent="0.2">
      <c r="A54" s="59"/>
      <c r="B54" s="59"/>
      <c r="C54" s="59"/>
      <c r="D54" s="59"/>
      <c r="E54" s="59"/>
      <c r="F54" s="59"/>
      <c r="G54" s="59"/>
      <c r="H54" s="59"/>
      <c r="I54" s="59"/>
      <c r="J54" s="59"/>
      <c r="K54" s="59"/>
      <c r="L54" s="59"/>
      <c r="M54" s="59"/>
      <c r="N54" s="59"/>
      <c r="O54" s="59"/>
      <c r="P54" s="59"/>
      <c r="Q54" s="59"/>
      <c r="R54" s="59"/>
      <c r="S54" s="59"/>
      <c r="T54" s="59"/>
      <c r="U54" s="59"/>
      <c r="V54" s="59"/>
    </row>
    <row r="55" spans="1:22" x14ac:dyDescent="0.2">
      <c r="A55" s="59"/>
      <c r="B55" s="59"/>
      <c r="C55" s="59"/>
      <c r="D55" s="59"/>
      <c r="E55" s="59"/>
      <c r="F55" s="59"/>
      <c r="G55" s="59"/>
      <c r="H55" s="59"/>
      <c r="I55" s="59"/>
      <c r="J55" s="59"/>
      <c r="K55" s="59"/>
      <c r="L55" s="59"/>
      <c r="M55" s="59"/>
      <c r="N55" s="59"/>
      <c r="O55" s="59"/>
      <c r="P55" s="59"/>
      <c r="Q55" s="59"/>
      <c r="R55" s="59"/>
      <c r="S55" s="59"/>
      <c r="T55" s="59"/>
      <c r="U55" s="59"/>
      <c r="V55" s="59"/>
    </row>
    <row r="56" spans="1:22" x14ac:dyDescent="0.2">
      <c r="A56" s="59"/>
      <c r="B56" s="59"/>
      <c r="C56" s="59"/>
      <c r="D56" s="59"/>
      <c r="E56" s="59"/>
      <c r="F56" s="59"/>
      <c r="G56" s="59"/>
      <c r="H56" s="59"/>
      <c r="I56" s="59"/>
      <c r="J56" s="59"/>
      <c r="K56" s="59"/>
      <c r="L56" s="59"/>
      <c r="M56" s="59"/>
      <c r="N56" s="59"/>
      <c r="O56" s="59"/>
      <c r="P56" s="59"/>
      <c r="Q56" s="59"/>
      <c r="R56" s="59"/>
      <c r="S56" s="59"/>
      <c r="T56" s="59"/>
      <c r="U56" s="59"/>
      <c r="V56" s="59"/>
    </row>
    <row r="57" spans="1:22" x14ac:dyDescent="0.2">
      <c r="A57" s="59"/>
      <c r="B57" s="59"/>
      <c r="C57" s="59"/>
      <c r="D57" s="59"/>
      <c r="E57" s="59"/>
      <c r="F57" s="59"/>
      <c r="G57" s="59"/>
      <c r="H57" s="59"/>
      <c r="I57" s="59"/>
      <c r="J57" s="59"/>
      <c r="K57" s="59"/>
      <c r="L57" s="59"/>
      <c r="M57" s="59"/>
      <c r="N57" s="59"/>
      <c r="O57" s="59"/>
      <c r="P57" s="59"/>
      <c r="Q57" s="59"/>
      <c r="R57" s="59"/>
      <c r="S57" s="59"/>
      <c r="T57" s="59"/>
      <c r="U57" s="59"/>
      <c r="V57" s="59"/>
    </row>
    <row r="58" spans="1:22" x14ac:dyDescent="0.2">
      <c r="A58" s="59"/>
      <c r="B58" s="59"/>
      <c r="C58" s="59"/>
      <c r="D58" s="59"/>
      <c r="E58" s="59"/>
      <c r="F58" s="59"/>
      <c r="G58" s="59"/>
      <c r="H58" s="59"/>
      <c r="I58" s="59"/>
      <c r="J58" s="59"/>
      <c r="K58" s="59"/>
      <c r="L58" s="59"/>
      <c r="M58" s="59"/>
      <c r="N58" s="59"/>
      <c r="O58" s="59"/>
      <c r="P58" s="59"/>
      <c r="Q58" s="59"/>
      <c r="R58" s="59"/>
      <c r="S58" s="59"/>
      <c r="T58" s="59"/>
      <c r="U58" s="59"/>
      <c r="V58" s="59"/>
    </row>
    <row r="59" spans="1:22" x14ac:dyDescent="0.2">
      <c r="A59" s="59"/>
      <c r="B59" s="59"/>
      <c r="C59" s="59"/>
      <c r="D59" s="59"/>
      <c r="E59" s="59"/>
      <c r="F59" s="59"/>
      <c r="G59" s="59"/>
      <c r="H59" s="59"/>
      <c r="I59" s="59"/>
      <c r="J59" s="59"/>
      <c r="K59" s="59"/>
      <c r="L59" s="59"/>
      <c r="M59" s="59"/>
      <c r="N59" s="59"/>
      <c r="O59" s="59"/>
      <c r="P59" s="59"/>
      <c r="Q59" s="59"/>
      <c r="R59" s="59"/>
      <c r="S59" s="59"/>
      <c r="T59" s="59"/>
      <c r="U59" s="59"/>
      <c r="V59" s="59"/>
    </row>
    <row r="60" spans="1:22" x14ac:dyDescent="0.2">
      <c r="A60" s="59"/>
      <c r="B60" s="59"/>
      <c r="C60" s="59"/>
      <c r="D60" s="59"/>
      <c r="E60" s="59"/>
      <c r="F60" s="59"/>
      <c r="G60" s="59"/>
      <c r="H60" s="59"/>
      <c r="I60" s="59"/>
      <c r="J60" s="59"/>
      <c r="K60" s="59"/>
      <c r="L60" s="59"/>
      <c r="M60" s="59"/>
      <c r="N60" s="59"/>
      <c r="O60" s="59"/>
      <c r="P60" s="59"/>
      <c r="Q60" s="59"/>
      <c r="R60" s="59"/>
      <c r="S60" s="59"/>
      <c r="T60" s="59"/>
      <c r="U60" s="59"/>
      <c r="V60" s="59"/>
    </row>
    <row r="61" spans="1:22" x14ac:dyDescent="0.2">
      <c r="A61" s="59"/>
      <c r="B61" s="59"/>
      <c r="C61" s="59"/>
      <c r="D61" s="59"/>
      <c r="E61" s="59"/>
      <c r="F61" s="59"/>
      <c r="G61" s="59"/>
      <c r="H61" s="59"/>
      <c r="I61" s="59"/>
      <c r="J61" s="59"/>
      <c r="K61" s="59"/>
      <c r="L61" s="59"/>
      <c r="M61" s="59"/>
      <c r="N61" s="59"/>
      <c r="O61" s="59"/>
      <c r="P61" s="59"/>
      <c r="Q61" s="59"/>
      <c r="R61" s="59"/>
      <c r="S61" s="59"/>
      <c r="T61" s="59"/>
      <c r="U61" s="59"/>
      <c r="V61" s="59"/>
    </row>
    <row r="62" spans="1:22" x14ac:dyDescent="0.2">
      <c r="A62" s="59"/>
      <c r="B62" s="59"/>
      <c r="C62" s="59"/>
      <c r="D62" s="59"/>
      <c r="E62" s="59"/>
      <c r="F62" s="59"/>
      <c r="G62" s="59"/>
      <c r="H62" s="59"/>
      <c r="I62" s="59"/>
      <c r="J62" s="59"/>
      <c r="K62" s="59"/>
      <c r="L62" s="59"/>
      <c r="M62" s="59"/>
      <c r="N62" s="59"/>
      <c r="O62" s="59"/>
      <c r="P62" s="59"/>
      <c r="Q62" s="59"/>
      <c r="R62" s="59"/>
      <c r="S62" s="59"/>
      <c r="T62" s="59"/>
      <c r="U62" s="59"/>
      <c r="V62" s="59"/>
    </row>
    <row r="63" spans="1:22" x14ac:dyDescent="0.2">
      <c r="A63" s="59"/>
      <c r="B63" s="59"/>
      <c r="C63" s="59"/>
      <c r="D63" s="59"/>
      <c r="E63" s="59"/>
      <c r="F63" s="59"/>
      <c r="G63" s="59"/>
      <c r="H63" s="59"/>
      <c r="I63" s="59"/>
      <c r="J63" s="59"/>
      <c r="K63" s="59"/>
      <c r="L63" s="59"/>
      <c r="M63" s="59"/>
      <c r="N63" s="59"/>
      <c r="O63" s="59"/>
      <c r="P63" s="59"/>
      <c r="Q63" s="59"/>
      <c r="R63" s="59"/>
      <c r="S63" s="59"/>
      <c r="T63" s="59"/>
      <c r="U63" s="59"/>
      <c r="V63" s="59"/>
    </row>
    <row r="64" spans="1:22" x14ac:dyDescent="0.2">
      <c r="A64" s="59"/>
      <c r="B64" s="59"/>
      <c r="C64" s="59"/>
      <c r="D64" s="59"/>
      <c r="E64" s="59"/>
      <c r="F64" s="59"/>
      <c r="G64" s="59"/>
      <c r="H64" s="59"/>
      <c r="I64" s="59"/>
      <c r="J64" s="59"/>
      <c r="K64" s="59"/>
      <c r="L64" s="59"/>
      <c r="M64" s="59"/>
      <c r="N64" s="59"/>
      <c r="O64" s="59"/>
      <c r="P64" s="59"/>
      <c r="Q64" s="59"/>
      <c r="R64" s="59"/>
      <c r="S64" s="59"/>
      <c r="T64" s="59"/>
      <c r="U64" s="59"/>
      <c r="V64" s="59"/>
    </row>
    <row r="65" spans="1:22" x14ac:dyDescent="0.2">
      <c r="A65" s="59"/>
      <c r="B65" s="59"/>
      <c r="C65" s="59"/>
      <c r="D65" s="59"/>
      <c r="E65" s="59"/>
      <c r="F65" s="59"/>
      <c r="G65" s="59"/>
      <c r="H65" s="59"/>
      <c r="I65" s="59"/>
      <c r="J65" s="59"/>
      <c r="K65" s="59"/>
      <c r="L65" s="59"/>
      <c r="M65" s="59"/>
      <c r="N65" s="59"/>
      <c r="O65" s="59"/>
      <c r="P65" s="59"/>
      <c r="Q65" s="59"/>
      <c r="R65" s="59"/>
      <c r="S65" s="59"/>
      <c r="T65" s="59"/>
      <c r="U65" s="59"/>
      <c r="V65" s="59"/>
    </row>
    <row r="66" spans="1:22" x14ac:dyDescent="0.2">
      <c r="A66" s="59"/>
      <c r="B66" s="59"/>
      <c r="C66" s="59"/>
      <c r="D66" s="59"/>
      <c r="E66" s="59"/>
      <c r="F66" s="59"/>
      <c r="G66" s="59"/>
      <c r="H66" s="59"/>
      <c r="I66" s="59"/>
      <c r="J66" s="59"/>
      <c r="K66" s="59"/>
      <c r="L66" s="59"/>
      <c r="M66" s="59"/>
      <c r="N66" s="59"/>
      <c r="O66" s="59"/>
      <c r="P66" s="59"/>
      <c r="Q66" s="59"/>
      <c r="R66" s="59"/>
      <c r="S66" s="59"/>
      <c r="T66" s="59"/>
      <c r="U66" s="59"/>
      <c r="V66" s="59"/>
    </row>
    <row r="67" spans="1:22" x14ac:dyDescent="0.2">
      <c r="A67" s="59"/>
      <c r="B67" s="59"/>
      <c r="C67" s="59"/>
      <c r="D67" s="59"/>
      <c r="E67" s="59"/>
      <c r="F67" s="59"/>
      <c r="G67" s="59"/>
      <c r="H67" s="59"/>
      <c r="I67" s="59"/>
      <c r="J67" s="59"/>
      <c r="K67" s="59"/>
      <c r="L67" s="59"/>
      <c r="M67" s="59"/>
      <c r="N67" s="59"/>
      <c r="O67" s="59"/>
      <c r="P67" s="59"/>
      <c r="Q67" s="59"/>
      <c r="R67" s="59"/>
      <c r="S67" s="59"/>
      <c r="T67" s="59"/>
      <c r="U67" s="59"/>
      <c r="V67" s="59"/>
    </row>
    <row r="68" spans="1:22" x14ac:dyDescent="0.2">
      <c r="A68" s="59"/>
      <c r="B68" s="59"/>
      <c r="C68" s="59"/>
      <c r="D68" s="59"/>
      <c r="E68" s="59"/>
      <c r="F68" s="59"/>
      <c r="G68" s="59"/>
      <c r="H68" s="59"/>
      <c r="I68" s="59"/>
      <c r="J68" s="59"/>
      <c r="K68" s="59"/>
      <c r="L68" s="59"/>
      <c r="M68" s="59"/>
      <c r="N68" s="59"/>
      <c r="O68" s="59"/>
      <c r="P68" s="59"/>
      <c r="Q68" s="59"/>
      <c r="R68" s="59"/>
      <c r="S68" s="59"/>
      <c r="T68" s="59"/>
      <c r="U68" s="59"/>
      <c r="V68" s="59"/>
    </row>
    <row r="69" spans="1:22" x14ac:dyDescent="0.2">
      <c r="A69" s="59"/>
      <c r="B69" s="59"/>
      <c r="C69" s="59"/>
      <c r="D69" s="59"/>
      <c r="E69" s="59"/>
      <c r="F69" s="59"/>
      <c r="G69" s="59"/>
      <c r="H69" s="59"/>
      <c r="I69" s="59"/>
      <c r="J69" s="59"/>
      <c r="K69" s="59"/>
      <c r="L69" s="59"/>
      <c r="M69" s="59"/>
      <c r="N69" s="59"/>
      <c r="O69" s="59"/>
      <c r="P69" s="59"/>
      <c r="Q69" s="59"/>
      <c r="R69" s="59"/>
      <c r="S69" s="59"/>
      <c r="T69" s="59"/>
      <c r="U69" s="59"/>
      <c r="V69" s="59"/>
    </row>
    <row r="70" spans="1:22" x14ac:dyDescent="0.2">
      <c r="A70" s="59"/>
      <c r="B70" s="59"/>
      <c r="C70" s="59"/>
      <c r="D70" s="59"/>
      <c r="E70" s="59"/>
      <c r="F70" s="59"/>
      <c r="G70" s="59"/>
      <c r="H70" s="59"/>
      <c r="I70" s="59"/>
      <c r="J70" s="59"/>
      <c r="K70" s="59"/>
      <c r="L70" s="59"/>
      <c r="M70" s="59"/>
      <c r="N70" s="59"/>
      <c r="O70" s="59"/>
      <c r="P70" s="59"/>
      <c r="Q70" s="59"/>
      <c r="R70" s="59"/>
      <c r="S70" s="59"/>
      <c r="T70" s="59"/>
      <c r="U70" s="59"/>
      <c r="V70" s="59"/>
    </row>
    <row r="71" spans="1:22" x14ac:dyDescent="0.2">
      <c r="A71" s="59"/>
      <c r="B71" s="59"/>
      <c r="C71" s="59"/>
      <c r="D71" s="59"/>
      <c r="E71" s="59"/>
      <c r="F71" s="59"/>
      <c r="G71" s="59"/>
      <c r="H71" s="59"/>
      <c r="I71" s="59"/>
      <c r="J71" s="59"/>
      <c r="K71" s="59"/>
      <c r="L71" s="59"/>
      <c r="M71" s="59"/>
      <c r="N71" s="59"/>
      <c r="O71" s="59"/>
      <c r="P71" s="59"/>
      <c r="Q71" s="59"/>
      <c r="R71" s="59"/>
      <c r="S71" s="59"/>
      <c r="T71" s="59"/>
      <c r="U71" s="59"/>
      <c r="V71" s="59"/>
    </row>
    <row r="72" spans="1:22" x14ac:dyDescent="0.2">
      <c r="A72" s="59"/>
      <c r="B72" s="59"/>
      <c r="C72" s="59"/>
      <c r="D72" s="59"/>
      <c r="E72" s="59"/>
      <c r="F72" s="59"/>
      <c r="G72" s="59"/>
      <c r="H72" s="59"/>
      <c r="I72" s="59"/>
      <c r="J72" s="59"/>
      <c r="K72" s="59"/>
      <c r="L72" s="59"/>
      <c r="M72" s="59"/>
      <c r="N72" s="59"/>
      <c r="O72" s="59"/>
      <c r="P72" s="59"/>
      <c r="Q72" s="59"/>
      <c r="R72" s="59"/>
      <c r="S72" s="59"/>
      <c r="T72" s="59"/>
      <c r="U72" s="59"/>
      <c r="V72" s="59"/>
    </row>
    <row r="73" spans="1:22" x14ac:dyDescent="0.2">
      <c r="A73" s="59"/>
      <c r="B73" s="59"/>
      <c r="C73" s="59"/>
      <c r="D73" s="59"/>
      <c r="E73" s="59"/>
      <c r="F73" s="59"/>
      <c r="G73" s="59"/>
      <c r="H73" s="59"/>
      <c r="I73" s="59"/>
      <c r="J73" s="59"/>
      <c r="K73" s="59"/>
      <c r="L73" s="59"/>
      <c r="M73" s="59"/>
      <c r="N73" s="59"/>
      <c r="O73" s="59"/>
      <c r="P73" s="59"/>
      <c r="Q73" s="59"/>
      <c r="R73" s="59"/>
      <c r="S73" s="59"/>
      <c r="T73" s="59"/>
      <c r="U73" s="59"/>
      <c r="V73" s="59"/>
    </row>
    <row r="74" spans="1:22" x14ac:dyDescent="0.2">
      <c r="A74" s="59"/>
      <c r="B74" s="59"/>
      <c r="C74" s="59"/>
      <c r="D74" s="59"/>
      <c r="E74" s="59"/>
      <c r="F74" s="59"/>
      <c r="G74" s="59"/>
      <c r="H74" s="59"/>
      <c r="I74" s="59"/>
      <c r="J74" s="59"/>
      <c r="K74" s="59"/>
      <c r="L74" s="59"/>
      <c r="M74" s="59"/>
      <c r="N74" s="59"/>
      <c r="O74" s="59"/>
      <c r="P74" s="59"/>
      <c r="Q74" s="59"/>
      <c r="R74" s="59"/>
      <c r="S74" s="59"/>
      <c r="T74" s="59"/>
      <c r="U74" s="59"/>
      <c r="V74" s="59"/>
    </row>
    <row r="75" spans="1:22" x14ac:dyDescent="0.2">
      <c r="A75" s="59"/>
      <c r="B75" s="59"/>
      <c r="C75" s="59"/>
      <c r="D75" s="59"/>
      <c r="E75" s="59"/>
      <c r="F75" s="59"/>
      <c r="G75" s="59"/>
      <c r="H75" s="59"/>
      <c r="I75" s="59"/>
      <c r="J75" s="59"/>
      <c r="K75" s="59"/>
      <c r="L75" s="59"/>
      <c r="M75" s="59"/>
      <c r="N75" s="59"/>
      <c r="O75" s="59"/>
      <c r="P75" s="59"/>
      <c r="Q75" s="59"/>
      <c r="R75" s="59"/>
      <c r="S75" s="59"/>
      <c r="T75" s="59"/>
      <c r="U75" s="59"/>
      <c r="V75" s="59"/>
    </row>
    <row r="76" spans="1:22" x14ac:dyDescent="0.2">
      <c r="A76" s="59"/>
      <c r="B76" s="59"/>
      <c r="C76" s="59"/>
      <c r="D76" s="59"/>
      <c r="E76" s="59"/>
      <c r="F76" s="59"/>
      <c r="G76" s="59"/>
      <c r="H76" s="59"/>
      <c r="I76" s="59"/>
      <c r="J76" s="59"/>
      <c r="K76" s="59"/>
      <c r="L76" s="59"/>
      <c r="M76" s="59"/>
      <c r="N76" s="59"/>
      <c r="O76" s="59"/>
      <c r="P76" s="59"/>
      <c r="Q76" s="59"/>
      <c r="R76" s="59"/>
      <c r="S76" s="59"/>
      <c r="T76" s="59"/>
      <c r="U76" s="59"/>
      <c r="V76" s="59"/>
    </row>
    <row r="77" spans="1:22" x14ac:dyDescent="0.2">
      <c r="A77" s="59"/>
      <c r="B77" s="59"/>
      <c r="C77" s="59"/>
      <c r="D77" s="59"/>
      <c r="E77" s="59"/>
      <c r="F77" s="59"/>
      <c r="G77" s="59"/>
      <c r="H77" s="59"/>
      <c r="I77" s="59"/>
      <c r="J77" s="59"/>
      <c r="K77" s="59"/>
      <c r="L77" s="59"/>
      <c r="M77" s="59"/>
      <c r="N77" s="59"/>
      <c r="O77" s="59"/>
      <c r="P77" s="59"/>
      <c r="Q77" s="59"/>
      <c r="R77" s="59"/>
      <c r="S77" s="59"/>
      <c r="T77" s="59"/>
      <c r="U77" s="59"/>
      <c r="V77" s="59"/>
    </row>
    <row r="78" spans="1:22" x14ac:dyDescent="0.2">
      <c r="A78" s="59"/>
      <c r="B78" s="59"/>
      <c r="C78" s="59"/>
      <c r="D78" s="59"/>
      <c r="E78" s="59"/>
      <c r="F78" s="59"/>
      <c r="G78" s="59"/>
      <c r="H78" s="59"/>
      <c r="I78" s="59"/>
      <c r="J78" s="59"/>
      <c r="K78" s="59"/>
      <c r="L78" s="59"/>
      <c r="M78" s="59"/>
      <c r="N78" s="59"/>
      <c r="O78" s="59"/>
      <c r="P78" s="59"/>
      <c r="Q78" s="59"/>
      <c r="R78" s="59"/>
      <c r="S78" s="59"/>
      <c r="T78" s="59"/>
      <c r="U78" s="59"/>
      <c r="V78" s="59"/>
    </row>
    <row r="79" spans="1:22" x14ac:dyDescent="0.2">
      <c r="A79" s="59"/>
      <c r="B79" s="59"/>
      <c r="C79" s="59"/>
      <c r="D79" s="59"/>
      <c r="E79" s="59"/>
      <c r="F79" s="59"/>
      <c r="G79" s="59"/>
      <c r="H79" s="59"/>
      <c r="I79" s="59"/>
      <c r="J79" s="59"/>
      <c r="K79" s="59"/>
      <c r="L79" s="59"/>
      <c r="M79" s="59"/>
      <c r="N79" s="59"/>
      <c r="O79" s="59"/>
      <c r="P79" s="59"/>
      <c r="Q79" s="59"/>
      <c r="R79" s="59"/>
      <c r="S79" s="59"/>
      <c r="T79" s="59"/>
      <c r="U79" s="59"/>
      <c r="V79" s="59"/>
    </row>
    <row r="80" spans="1:22" x14ac:dyDescent="0.2">
      <c r="A80" s="59"/>
      <c r="B80" s="59"/>
      <c r="C80" s="59"/>
      <c r="D80" s="59"/>
      <c r="E80" s="59"/>
      <c r="F80" s="59"/>
      <c r="G80" s="59"/>
      <c r="H80" s="59"/>
      <c r="I80" s="59"/>
      <c r="J80" s="59"/>
      <c r="K80" s="59"/>
      <c r="L80" s="59"/>
      <c r="M80" s="59"/>
      <c r="N80" s="59"/>
      <c r="O80" s="59"/>
      <c r="P80" s="59"/>
      <c r="Q80" s="59"/>
      <c r="R80" s="59"/>
      <c r="S80" s="59"/>
      <c r="T80" s="59"/>
      <c r="U80" s="59"/>
      <c r="V80" s="59"/>
    </row>
    <row r="81" spans="1:22" x14ac:dyDescent="0.2">
      <c r="A81" s="59"/>
      <c r="B81" s="59"/>
      <c r="C81" s="59"/>
      <c r="D81" s="59"/>
      <c r="E81" s="59"/>
      <c r="F81" s="59"/>
      <c r="G81" s="59"/>
      <c r="H81" s="59"/>
      <c r="I81" s="59"/>
      <c r="J81" s="59"/>
      <c r="K81" s="59"/>
      <c r="L81" s="59"/>
      <c r="M81" s="59"/>
      <c r="N81" s="59"/>
      <c r="O81" s="59"/>
      <c r="P81" s="59"/>
      <c r="Q81" s="59"/>
      <c r="R81" s="59"/>
      <c r="S81" s="59"/>
      <c r="T81" s="59"/>
      <c r="U81" s="59"/>
      <c r="V81" s="59"/>
    </row>
    <row r="82" spans="1:22" x14ac:dyDescent="0.2">
      <c r="A82" s="59"/>
      <c r="B82" s="59"/>
      <c r="C82" s="59"/>
      <c r="D82" s="59"/>
      <c r="E82" s="59"/>
      <c r="F82" s="59"/>
      <c r="G82" s="59"/>
      <c r="H82" s="59"/>
      <c r="I82" s="59"/>
      <c r="J82" s="59"/>
      <c r="K82" s="59"/>
      <c r="L82" s="59"/>
      <c r="M82" s="59"/>
      <c r="N82" s="59"/>
      <c r="O82" s="59"/>
      <c r="P82" s="59"/>
      <c r="Q82" s="59"/>
      <c r="R82" s="59"/>
      <c r="S82" s="59"/>
      <c r="T82" s="59"/>
      <c r="U82" s="59"/>
      <c r="V82" s="59"/>
    </row>
    <row r="83" spans="1:22" x14ac:dyDescent="0.2">
      <c r="A83" s="59"/>
      <c r="B83" s="59"/>
      <c r="C83" s="59"/>
      <c r="D83" s="59"/>
      <c r="E83" s="59"/>
      <c r="F83" s="59"/>
      <c r="G83" s="59"/>
      <c r="H83" s="59"/>
      <c r="I83" s="59"/>
      <c r="J83" s="59"/>
      <c r="K83" s="59"/>
      <c r="L83" s="59"/>
      <c r="M83" s="59"/>
      <c r="N83" s="59"/>
      <c r="O83" s="59"/>
      <c r="P83" s="59"/>
      <c r="Q83" s="59"/>
      <c r="R83" s="59"/>
      <c r="S83" s="59"/>
      <c r="T83" s="59"/>
      <c r="U83" s="59"/>
      <c r="V83" s="59"/>
    </row>
    <row r="84" spans="1:22" x14ac:dyDescent="0.2">
      <c r="A84" s="59"/>
      <c r="B84" s="59"/>
      <c r="C84" s="59"/>
      <c r="D84" s="59"/>
      <c r="E84" s="59"/>
      <c r="F84" s="59"/>
      <c r="G84" s="59"/>
      <c r="H84" s="59"/>
      <c r="I84" s="59"/>
      <c r="J84" s="59"/>
      <c r="K84" s="59"/>
      <c r="L84" s="59"/>
      <c r="M84" s="59"/>
      <c r="N84" s="59"/>
      <c r="O84" s="59"/>
      <c r="P84" s="59"/>
      <c r="Q84" s="59"/>
      <c r="R84" s="59"/>
      <c r="S84" s="59"/>
      <c r="T84" s="59"/>
      <c r="U84" s="59"/>
      <c r="V84" s="59"/>
    </row>
    <row r="85" spans="1:22" x14ac:dyDescent="0.2">
      <c r="A85" s="59"/>
      <c r="B85" s="59"/>
      <c r="C85" s="59"/>
      <c r="D85" s="59"/>
      <c r="E85" s="59"/>
      <c r="F85" s="59"/>
      <c r="G85" s="59"/>
      <c r="H85" s="59"/>
      <c r="I85" s="59"/>
      <c r="J85" s="59"/>
      <c r="K85" s="59"/>
      <c r="L85" s="59"/>
      <c r="M85" s="59"/>
      <c r="N85" s="59"/>
      <c r="O85" s="59"/>
      <c r="P85" s="59"/>
      <c r="Q85" s="59"/>
      <c r="R85" s="59"/>
      <c r="S85" s="59"/>
      <c r="T85" s="59"/>
      <c r="U85" s="59"/>
      <c r="V85" s="59"/>
    </row>
    <row r="86" spans="1:22" x14ac:dyDescent="0.2">
      <c r="A86" s="59"/>
      <c r="B86" s="59"/>
      <c r="C86" s="59"/>
      <c r="D86" s="59"/>
      <c r="E86" s="59"/>
      <c r="F86" s="59"/>
      <c r="G86" s="59"/>
      <c r="H86" s="59"/>
      <c r="I86" s="59"/>
      <c r="J86" s="59"/>
      <c r="K86" s="59"/>
      <c r="L86" s="59"/>
      <c r="M86" s="59"/>
      <c r="N86" s="59"/>
      <c r="O86" s="59"/>
      <c r="P86" s="59"/>
      <c r="Q86" s="59"/>
      <c r="R86" s="59"/>
      <c r="S86" s="59"/>
      <c r="T86" s="59"/>
      <c r="U86" s="59"/>
      <c r="V86" s="59"/>
    </row>
    <row r="87" spans="1:22" x14ac:dyDescent="0.2">
      <c r="A87" s="59"/>
      <c r="B87" s="59"/>
      <c r="C87" s="59"/>
      <c r="D87" s="59"/>
      <c r="E87" s="59"/>
      <c r="F87" s="59"/>
      <c r="G87" s="59"/>
      <c r="H87" s="59"/>
      <c r="I87" s="59"/>
      <c r="J87" s="59"/>
      <c r="K87" s="59"/>
      <c r="L87" s="59"/>
      <c r="M87" s="59"/>
      <c r="N87" s="59"/>
      <c r="O87" s="59"/>
      <c r="P87" s="59"/>
      <c r="Q87" s="59"/>
      <c r="R87" s="59"/>
      <c r="S87" s="59"/>
      <c r="T87" s="59"/>
      <c r="U87" s="59"/>
      <c r="V87" s="59"/>
    </row>
    <row r="88" spans="1:22" x14ac:dyDescent="0.2">
      <c r="A88" s="59"/>
      <c r="B88" s="59"/>
      <c r="C88" s="59"/>
      <c r="D88" s="59"/>
      <c r="E88" s="59"/>
      <c r="F88" s="59"/>
      <c r="G88" s="59"/>
      <c r="H88" s="59"/>
      <c r="I88" s="59"/>
      <c r="J88" s="59"/>
      <c r="K88" s="59"/>
      <c r="L88" s="59"/>
      <c r="M88" s="59"/>
      <c r="N88" s="59"/>
      <c r="O88" s="59"/>
      <c r="P88" s="59"/>
      <c r="Q88" s="59"/>
      <c r="R88" s="59"/>
      <c r="S88" s="59"/>
      <c r="T88" s="59"/>
      <c r="U88" s="59"/>
      <c r="V88" s="59"/>
    </row>
    <row r="89" spans="1:22" x14ac:dyDescent="0.2">
      <c r="A89" s="59"/>
      <c r="B89" s="59"/>
      <c r="C89" s="59"/>
      <c r="D89" s="59"/>
      <c r="E89" s="59"/>
      <c r="F89" s="59"/>
      <c r="G89" s="59"/>
      <c r="H89" s="59"/>
      <c r="I89" s="59"/>
      <c r="J89" s="59"/>
      <c r="K89" s="59"/>
      <c r="L89" s="59"/>
      <c r="M89" s="59"/>
      <c r="N89" s="59"/>
      <c r="O89" s="59"/>
      <c r="P89" s="59"/>
      <c r="Q89" s="59"/>
      <c r="R89" s="59"/>
      <c r="S89" s="59"/>
      <c r="T89" s="59"/>
      <c r="U89" s="59"/>
      <c r="V89" s="59"/>
    </row>
    <row r="90" spans="1:22" x14ac:dyDescent="0.2">
      <c r="A90" s="59"/>
      <c r="B90" s="59"/>
      <c r="C90" s="59"/>
      <c r="D90" s="59"/>
      <c r="E90" s="59"/>
      <c r="F90" s="59"/>
      <c r="G90" s="59"/>
      <c r="H90" s="59"/>
      <c r="I90" s="59"/>
      <c r="J90" s="59"/>
      <c r="K90" s="59"/>
      <c r="L90" s="59"/>
      <c r="M90" s="59"/>
      <c r="N90" s="59"/>
      <c r="O90" s="59"/>
      <c r="P90" s="59"/>
      <c r="Q90" s="59"/>
      <c r="R90" s="59"/>
      <c r="S90" s="59"/>
      <c r="T90" s="59"/>
      <c r="U90" s="59"/>
      <c r="V90" s="59"/>
    </row>
    <row r="91" spans="1:22" x14ac:dyDescent="0.2">
      <c r="A91" s="59"/>
      <c r="B91" s="59"/>
      <c r="C91" s="59"/>
      <c r="D91" s="59"/>
      <c r="E91" s="59"/>
      <c r="F91" s="59"/>
      <c r="G91" s="59"/>
      <c r="H91" s="59"/>
      <c r="I91" s="59"/>
      <c r="J91" s="59"/>
      <c r="K91" s="59"/>
      <c r="L91" s="59"/>
      <c r="M91" s="59"/>
      <c r="N91" s="59"/>
      <c r="O91" s="59"/>
      <c r="P91" s="59"/>
      <c r="Q91" s="59"/>
      <c r="R91" s="59"/>
      <c r="S91" s="59"/>
      <c r="T91" s="59"/>
      <c r="U91" s="59"/>
      <c r="V91" s="59"/>
    </row>
    <row r="92" spans="1:22" x14ac:dyDescent="0.2">
      <c r="A92" s="59"/>
      <c r="B92" s="59"/>
      <c r="C92" s="59"/>
      <c r="D92" s="59"/>
      <c r="E92" s="59"/>
      <c r="F92" s="59"/>
      <c r="G92" s="59"/>
      <c r="H92" s="59"/>
      <c r="I92" s="59"/>
      <c r="J92" s="59"/>
      <c r="K92" s="59"/>
      <c r="L92" s="59"/>
      <c r="M92" s="59"/>
      <c r="N92" s="59"/>
      <c r="O92" s="59"/>
      <c r="P92" s="59"/>
      <c r="Q92" s="59"/>
      <c r="R92" s="59"/>
      <c r="S92" s="59"/>
      <c r="T92" s="59"/>
      <c r="U92" s="59"/>
      <c r="V92" s="59"/>
    </row>
    <row r="93" spans="1:22" x14ac:dyDescent="0.2">
      <c r="A93" s="59"/>
      <c r="B93" s="59"/>
      <c r="C93" s="59"/>
      <c r="D93" s="59"/>
      <c r="E93" s="59"/>
      <c r="F93" s="59"/>
      <c r="G93" s="59"/>
      <c r="H93" s="59"/>
      <c r="I93" s="59"/>
      <c r="J93" s="59"/>
      <c r="K93" s="59"/>
      <c r="L93" s="59"/>
      <c r="M93" s="59"/>
      <c r="N93" s="59"/>
      <c r="O93" s="59"/>
      <c r="P93" s="59"/>
      <c r="Q93" s="59"/>
      <c r="R93" s="59"/>
      <c r="S93" s="59"/>
      <c r="T93" s="59"/>
      <c r="U93" s="59"/>
      <c r="V93" s="59"/>
    </row>
    <row r="94" spans="1:22" x14ac:dyDescent="0.2">
      <c r="A94" s="59"/>
      <c r="B94" s="59"/>
      <c r="C94" s="59"/>
      <c r="D94" s="59"/>
      <c r="E94" s="59"/>
      <c r="F94" s="59"/>
      <c r="G94" s="59"/>
      <c r="H94" s="59"/>
      <c r="I94" s="59"/>
      <c r="J94" s="59"/>
      <c r="K94" s="59"/>
      <c r="L94" s="59"/>
      <c r="M94" s="59"/>
      <c r="N94" s="59"/>
      <c r="O94" s="59"/>
      <c r="P94" s="59"/>
      <c r="Q94" s="59"/>
      <c r="R94" s="59"/>
      <c r="S94" s="59"/>
      <c r="T94" s="59"/>
      <c r="U94" s="59"/>
      <c r="V94" s="59"/>
    </row>
    <row r="95" spans="1:22" x14ac:dyDescent="0.2">
      <c r="A95" s="59"/>
      <c r="B95" s="59"/>
      <c r="C95" s="59"/>
      <c r="D95" s="59"/>
      <c r="E95" s="59"/>
      <c r="F95" s="59"/>
      <c r="G95" s="59"/>
      <c r="H95" s="59"/>
      <c r="I95" s="59"/>
      <c r="J95" s="59"/>
      <c r="K95" s="59"/>
      <c r="L95" s="59"/>
      <c r="M95" s="59"/>
      <c r="N95" s="59"/>
      <c r="O95" s="59"/>
      <c r="P95" s="59"/>
      <c r="Q95" s="59"/>
      <c r="R95" s="59"/>
      <c r="S95" s="59"/>
      <c r="T95" s="59"/>
      <c r="U95" s="59"/>
      <c r="V95" s="59"/>
    </row>
    <row r="96" spans="1:22" x14ac:dyDescent="0.2">
      <c r="A96" s="59"/>
      <c r="B96" s="59"/>
      <c r="C96" s="59"/>
      <c r="D96" s="59"/>
      <c r="E96" s="59"/>
      <c r="F96" s="59"/>
      <c r="G96" s="59"/>
      <c r="H96" s="59"/>
      <c r="I96" s="59"/>
      <c r="J96" s="59"/>
      <c r="K96" s="59"/>
      <c r="L96" s="59"/>
      <c r="M96" s="59"/>
      <c r="N96" s="59"/>
      <c r="O96" s="59"/>
      <c r="P96" s="59"/>
      <c r="Q96" s="59"/>
      <c r="R96" s="59"/>
      <c r="S96" s="59"/>
      <c r="T96" s="59"/>
      <c r="U96" s="59"/>
      <c r="V96" s="59"/>
    </row>
    <row r="97" spans="1:22" x14ac:dyDescent="0.2">
      <c r="A97" s="59"/>
      <c r="B97" s="59"/>
      <c r="C97" s="59"/>
      <c r="D97" s="59"/>
      <c r="E97" s="59"/>
      <c r="F97" s="59"/>
      <c r="G97" s="59"/>
      <c r="H97" s="59"/>
      <c r="I97" s="59"/>
      <c r="J97" s="59"/>
      <c r="K97" s="59"/>
      <c r="L97" s="59"/>
      <c r="M97" s="59"/>
      <c r="N97" s="59"/>
      <c r="O97" s="59"/>
      <c r="P97" s="59"/>
      <c r="Q97" s="59"/>
      <c r="R97" s="59"/>
      <c r="S97" s="59"/>
      <c r="T97" s="59"/>
      <c r="U97" s="59"/>
      <c r="V97" s="59"/>
    </row>
    <row r="98" spans="1:22" x14ac:dyDescent="0.2">
      <c r="A98" s="59"/>
      <c r="B98" s="59"/>
      <c r="C98" s="59"/>
      <c r="D98" s="59"/>
      <c r="E98" s="59"/>
      <c r="F98" s="59"/>
      <c r="G98" s="59"/>
      <c r="H98" s="59"/>
      <c r="I98" s="59"/>
      <c r="J98" s="59"/>
      <c r="K98" s="59"/>
      <c r="L98" s="59"/>
      <c r="M98" s="59"/>
      <c r="N98" s="59"/>
      <c r="O98" s="59"/>
      <c r="P98" s="59"/>
      <c r="Q98" s="59"/>
      <c r="R98" s="59"/>
      <c r="S98" s="59"/>
      <c r="T98" s="59"/>
      <c r="U98" s="59"/>
      <c r="V98" s="59"/>
    </row>
    <row r="99" spans="1:22" x14ac:dyDescent="0.2">
      <c r="A99" s="59"/>
      <c r="B99" s="59"/>
      <c r="C99" s="59"/>
      <c r="D99" s="59"/>
      <c r="E99" s="59"/>
      <c r="F99" s="59"/>
      <c r="G99" s="59"/>
      <c r="H99" s="59"/>
      <c r="I99" s="59"/>
      <c r="J99" s="59"/>
      <c r="K99" s="59"/>
      <c r="L99" s="59"/>
      <c r="M99" s="59"/>
      <c r="N99" s="59"/>
      <c r="O99" s="59"/>
      <c r="P99" s="59"/>
      <c r="Q99" s="59"/>
      <c r="R99" s="59"/>
      <c r="S99" s="59"/>
      <c r="T99" s="59"/>
      <c r="U99" s="59"/>
      <c r="V99" s="59"/>
    </row>
    <row r="100" spans="1:22" x14ac:dyDescent="0.2">
      <c r="A100" s="59"/>
      <c r="B100" s="59"/>
      <c r="C100" s="59"/>
      <c r="D100" s="59"/>
      <c r="E100" s="59"/>
      <c r="F100" s="59"/>
      <c r="G100" s="59"/>
      <c r="H100" s="59"/>
      <c r="I100" s="59"/>
      <c r="J100" s="59"/>
      <c r="K100" s="59"/>
      <c r="L100" s="59"/>
      <c r="M100" s="59"/>
      <c r="N100" s="59"/>
      <c r="O100" s="59"/>
      <c r="P100" s="59"/>
      <c r="Q100" s="59"/>
      <c r="R100" s="59"/>
      <c r="S100" s="59"/>
      <c r="T100" s="59"/>
      <c r="U100" s="59"/>
      <c r="V100" s="59"/>
    </row>
    <row r="101" spans="1:22" x14ac:dyDescent="0.2">
      <c r="I101" s="59"/>
      <c r="J101" s="59"/>
      <c r="K101" s="59"/>
      <c r="L101" s="59"/>
      <c r="M101" s="59"/>
      <c r="N101" s="59"/>
      <c r="O101" s="59"/>
    </row>
  </sheetData>
  <sheetProtection algorithmName="SHA-512" hashValue="jieJWZbseZO/Lncr/nQguk1REObnmlpjaR0Nc8izf41M3i5x3kR/sFUuDlyFPJobcYO3mKPYytAysHiyQqyjeQ==" saltValue="TU9fo+euqh0qfbAp5vrPLA==" spinCount="100000" sheet="1" objects="1" scenarios="1"/>
  <protectedRanges>
    <protectedRange sqref="A8:F27" name="Bereich1"/>
  </protectedRanges>
  <customSheetViews>
    <customSheetView guid="{8595FB22-684A-40C6-BCB3-CF11C69F4546}" showRuler="0">
      <selection activeCell="N18" sqref="N18"/>
      <pageMargins left="0" right="0" top="0" bottom="0" header="0" footer="0"/>
      <pageSetup paperSize="9" scale="82" orientation="landscape" r:id="rId1"/>
      <headerFooter alignWithMargins="0"/>
    </customSheetView>
  </customSheetViews>
  <mergeCells count="41">
    <mergeCell ref="A31:D32"/>
    <mergeCell ref="E31:F32"/>
    <mergeCell ref="G31:G32"/>
    <mergeCell ref="L8:L12"/>
    <mergeCell ref="M8:M12"/>
    <mergeCell ref="I13:J13"/>
    <mergeCell ref="I8:J12"/>
    <mergeCell ref="K8:K12"/>
    <mergeCell ref="A21:C21"/>
    <mergeCell ref="A19:C19"/>
    <mergeCell ref="A20:C20"/>
    <mergeCell ref="A22:C22"/>
    <mergeCell ref="A23:C23"/>
    <mergeCell ref="G28:G29"/>
    <mergeCell ref="A24:C24"/>
    <mergeCell ref="A25:C25"/>
    <mergeCell ref="A28:D29"/>
    <mergeCell ref="E28:F29"/>
    <mergeCell ref="A14:C14"/>
    <mergeCell ref="A15:C15"/>
    <mergeCell ref="A16:C16"/>
    <mergeCell ref="A17:C17"/>
    <mergeCell ref="A18:C18"/>
    <mergeCell ref="A13:C13"/>
    <mergeCell ref="A10:C10"/>
    <mergeCell ref="A11:C11"/>
    <mergeCell ref="A26:C26"/>
    <mergeCell ref="A27:C27"/>
    <mergeCell ref="I7:N7"/>
    <mergeCell ref="A8:C8"/>
    <mergeCell ref="A1:G1"/>
    <mergeCell ref="F3:F7"/>
    <mergeCell ref="G3:G7"/>
    <mergeCell ref="A3:A7"/>
    <mergeCell ref="D3:D7"/>
    <mergeCell ref="A2:G2"/>
    <mergeCell ref="E3:E7"/>
    <mergeCell ref="B3:C7"/>
    <mergeCell ref="N8:N12"/>
    <mergeCell ref="A9:C9"/>
    <mergeCell ref="A12:C12"/>
  </mergeCells>
  <phoneticPr fontId="3" type="noConversion"/>
  <pageMargins left="0.39370078740157483" right="0.39370078740157483" top="0.78740157480314965" bottom="0.39370078740157483" header="0.51181102362204722" footer="0.11811023622047245"/>
  <pageSetup paperSize="9" orientation="portrait" r:id="rId2"/>
  <headerFooter alignWithMargins="0">
    <oddFooter>&amp;C&amp;"Arial,Fett"Stand: April 2025</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tabColor indexed="44"/>
    <pageSetUpPr fitToPage="1"/>
  </sheetPr>
  <dimension ref="A1:V100"/>
  <sheetViews>
    <sheetView zoomScaleNormal="100" workbookViewId="0">
      <selection activeCell="F51" sqref="F51"/>
    </sheetView>
  </sheetViews>
  <sheetFormatPr baseColWidth="10" defaultColWidth="11.42578125" defaultRowHeight="12.75" x14ac:dyDescent="0.2"/>
  <cols>
    <col min="1" max="1" width="22.28515625" style="12" bestFit="1" customWidth="1"/>
    <col min="2" max="8" width="11.42578125" style="12"/>
    <col min="9" max="9" width="12.42578125" style="12" customWidth="1"/>
    <col min="10" max="16384" width="11.42578125" style="12"/>
  </cols>
  <sheetData>
    <row r="1" spans="1:22" ht="16.5" thickBot="1" x14ac:dyDescent="0.3">
      <c r="A1" s="783" t="s">
        <v>169</v>
      </c>
      <c r="B1" s="784"/>
      <c r="C1" s="784"/>
      <c r="D1" s="784"/>
      <c r="E1" s="784"/>
      <c r="F1" s="784"/>
      <c r="G1" s="785"/>
      <c r="H1" s="59"/>
      <c r="I1" s="319" t="s">
        <v>237</v>
      </c>
      <c r="J1" s="59"/>
      <c r="K1" s="59"/>
      <c r="L1" s="59"/>
      <c r="M1" s="59"/>
      <c r="N1" s="59"/>
      <c r="O1" s="59"/>
      <c r="P1" s="59"/>
      <c r="Q1" s="59"/>
      <c r="R1" s="59"/>
      <c r="S1" s="59"/>
      <c r="T1" s="59"/>
      <c r="U1" s="59"/>
      <c r="V1" s="59"/>
    </row>
    <row r="2" spans="1:22" ht="13.5" thickBot="1" x14ac:dyDescent="0.25">
      <c r="A2" s="692" t="s">
        <v>216</v>
      </c>
      <c r="B2" s="693"/>
      <c r="C2" s="693"/>
      <c r="D2" s="693"/>
      <c r="E2" s="693"/>
      <c r="F2" s="693"/>
      <c r="G2" s="757"/>
      <c r="H2" s="59"/>
      <c r="I2" s="59"/>
      <c r="J2" s="59"/>
      <c r="K2" s="59"/>
      <c r="L2" s="59"/>
      <c r="M2" s="59"/>
      <c r="N2" s="59"/>
      <c r="O2" s="59"/>
      <c r="P2" s="59"/>
      <c r="Q2" s="59"/>
      <c r="R2" s="59"/>
      <c r="S2" s="59"/>
      <c r="T2" s="59"/>
      <c r="U2" s="59"/>
      <c r="V2" s="59"/>
    </row>
    <row r="3" spans="1:22" x14ac:dyDescent="0.2">
      <c r="A3" s="752" t="s">
        <v>343</v>
      </c>
      <c r="B3" s="755" t="s">
        <v>344</v>
      </c>
      <c r="C3" s="786"/>
      <c r="D3" s="790" t="s">
        <v>345</v>
      </c>
      <c r="E3" s="758" t="s">
        <v>346</v>
      </c>
      <c r="F3" s="751" t="s">
        <v>22</v>
      </c>
      <c r="G3" s="751" t="s">
        <v>347</v>
      </c>
      <c r="H3" s="59"/>
      <c r="I3" s="59" t="s">
        <v>348</v>
      </c>
      <c r="J3" s="59"/>
      <c r="K3" s="59"/>
      <c r="L3" s="59"/>
      <c r="M3" s="59"/>
      <c r="N3" s="59"/>
      <c r="O3" s="59"/>
      <c r="P3" s="59"/>
      <c r="Q3" s="59"/>
      <c r="R3" s="59"/>
      <c r="S3" s="59"/>
      <c r="T3" s="59"/>
      <c r="U3" s="59"/>
      <c r="V3" s="59"/>
    </row>
    <row r="4" spans="1:22" x14ac:dyDescent="0.2">
      <c r="A4" s="752"/>
      <c r="B4" s="755"/>
      <c r="C4" s="786"/>
      <c r="D4" s="791"/>
      <c r="E4" s="759"/>
      <c r="F4" s="752"/>
      <c r="G4" s="752"/>
      <c r="H4" s="59"/>
      <c r="I4" s="59" t="s">
        <v>349</v>
      </c>
      <c r="J4" s="59"/>
      <c r="K4" s="59"/>
      <c r="L4" s="59"/>
      <c r="M4" s="59"/>
      <c r="N4" s="59"/>
      <c r="O4" s="59"/>
      <c r="P4" s="59"/>
      <c r="Q4" s="59"/>
      <c r="R4" s="59"/>
      <c r="S4" s="59"/>
      <c r="T4" s="59"/>
      <c r="U4" s="59"/>
      <c r="V4" s="59"/>
    </row>
    <row r="5" spans="1:22" x14ac:dyDescent="0.2">
      <c r="A5" s="752"/>
      <c r="B5" s="755"/>
      <c r="C5" s="786"/>
      <c r="D5" s="791"/>
      <c r="E5" s="759"/>
      <c r="F5" s="752"/>
      <c r="G5" s="752"/>
      <c r="H5" s="59"/>
      <c r="I5" s="59"/>
      <c r="J5" s="59"/>
      <c r="K5" s="59"/>
      <c r="L5" s="59"/>
      <c r="M5" s="59"/>
      <c r="N5" s="59"/>
      <c r="O5" s="59"/>
      <c r="P5" s="59"/>
      <c r="Q5" s="59"/>
      <c r="R5" s="59"/>
      <c r="S5" s="59"/>
      <c r="T5" s="59"/>
      <c r="U5" s="59"/>
      <c r="V5" s="59"/>
    </row>
    <row r="6" spans="1:22" x14ac:dyDescent="0.2">
      <c r="A6" s="752"/>
      <c r="B6" s="755"/>
      <c r="C6" s="786"/>
      <c r="D6" s="791"/>
      <c r="E6" s="759"/>
      <c r="F6" s="752"/>
      <c r="G6" s="752"/>
      <c r="H6" s="59"/>
      <c r="I6" s="59"/>
      <c r="J6" s="59"/>
      <c r="K6" s="59"/>
      <c r="L6" s="59"/>
      <c r="M6" s="59"/>
      <c r="N6" s="59"/>
      <c r="O6" s="59"/>
      <c r="P6" s="59"/>
      <c r="Q6" s="59"/>
      <c r="R6" s="59"/>
      <c r="S6" s="59"/>
      <c r="T6" s="59"/>
      <c r="U6" s="59"/>
      <c r="V6" s="59"/>
    </row>
    <row r="7" spans="1:22" ht="13.5" thickBot="1" x14ac:dyDescent="0.25">
      <c r="A7" s="753"/>
      <c r="B7" s="756"/>
      <c r="C7" s="787"/>
      <c r="D7" s="791"/>
      <c r="E7" s="760"/>
      <c r="F7" s="753"/>
      <c r="G7" s="753"/>
      <c r="H7" s="59"/>
      <c r="I7" s="72" t="s">
        <v>18</v>
      </c>
      <c r="J7" s="59"/>
      <c r="K7" s="59"/>
      <c r="L7" s="59"/>
      <c r="M7" s="59"/>
      <c r="N7" s="59"/>
      <c r="O7" s="59"/>
      <c r="P7" s="59"/>
      <c r="Q7" s="59"/>
      <c r="R7" s="59"/>
      <c r="S7" s="59"/>
      <c r="T7" s="59"/>
      <c r="U7" s="59"/>
      <c r="V7" s="59"/>
    </row>
    <row r="8" spans="1:22" ht="13.5" thickBot="1" x14ac:dyDescent="0.25">
      <c r="A8" s="723" t="s">
        <v>350</v>
      </c>
      <c r="B8" s="724"/>
      <c r="C8" s="725"/>
      <c r="D8" s="65">
        <v>0</v>
      </c>
      <c r="E8" s="61"/>
      <c r="F8" s="62"/>
      <c r="G8" s="28">
        <f t="shared" ref="G8:G27" si="0">F8*D8</f>
        <v>0</v>
      </c>
      <c r="H8" s="59"/>
      <c r="I8" s="801" t="s">
        <v>343</v>
      </c>
      <c r="J8" s="802"/>
      <c r="K8" s="767" t="s">
        <v>351</v>
      </c>
      <c r="L8" s="767" t="s">
        <v>22</v>
      </c>
      <c r="M8" s="767" t="s">
        <v>352</v>
      </c>
      <c r="N8" s="59"/>
      <c r="O8" s="59"/>
      <c r="P8" s="59"/>
      <c r="Q8" s="59"/>
      <c r="R8" s="59"/>
      <c r="S8" s="59"/>
      <c r="T8" s="59"/>
      <c r="U8" s="59"/>
      <c r="V8" s="59"/>
    </row>
    <row r="9" spans="1:22" ht="13.5" thickBot="1" x14ac:dyDescent="0.25">
      <c r="A9" s="723" t="s">
        <v>353</v>
      </c>
      <c r="B9" s="724"/>
      <c r="C9" s="725"/>
      <c r="D9" s="65">
        <v>0</v>
      </c>
      <c r="E9" s="61"/>
      <c r="F9" s="62"/>
      <c r="G9" s="28">
        <f t="shared" si="0"/>
        <v>0</v>
      </c>
      <c r="H9" s="59"/>
      <c r="I9" s="803"/>
      <c r="J9" s="804"/>
      <c r="K9" s="767"/>
      <c r="L9" s="767"/>
      <c r="M9" s="767"/>
      <c r="N9" s="59"/>
      <c r="O9" s="59"/>
      <c r="P9" s="59"/>
      <c r="Q9" s="59"/>
      <c r="R9" s="59"/>
      <c r="S9" s="59"/>
      <c r="T9" s="59"/>
      <c r="U9" s="59"/>
      <c r="V9" s="59"/>
    </row>
    <row r="10" spans="1:22" ht="13.5" thickBot="1" x14ac:dyDescent="0.25">
      <c r="A10" s="723" t="s">
        <v>354</v>
      </c>
      <c r="B10" s="724"/>
      <c r="C10" s="725"/>
      <c r="D10" s="65">
        <v>0</v>
      </c>
      <c r="E10" s="61"/>
      <c r="F10" s="62"/>
      <c r="G10" s="28">
        <f t="shared" si="0"/>
        <v>0</v>
      </c>
      <c r="H10" s="59"/>
      <c r="I10" s="803"/>
      <c r="J10" s="804"/>
      <c r="K10" s="767"/>
      <c r="L10" s="767"/>
      <c r="M10" s="767"/>
      <c r="N10" s="59"/>
      <c r="O10" s="59"/>
      <c r="P10" s="59"/>
      <c r="Q10" s="59"/>
      <c r="R10" s="59"/>
      <c r="S10" s="59"/>
      <c r="T10" s="59"/>
      <c r="U10" s="59"/>
      <c r="V10" s="59"/>
    </row>
    <row r="11" spans="1:22" ht="13.5" thickBot="1" x14ac:dyDescent="0.25">
      <c r="A11" s="723" t="s">
        <v>355</v>
      </c>
      <c r="B11" s="724"/>
      <c r="C11" s="725"/>
      <c r="D11" s="65">
        <v>0</v>
      </c>
      <c r="E11" s="61"/>
      <c r="F11" s="62"/>
      <c r="G11" s="28">
        <f t="shared" si="0"/>
        <v>0</v>
      </c>
      <c r="H11" s="59"/>
      <c r="I11" s="803"/>
      <c r="J11" s="804"/>
      <c r="K11" s="767"/>
      <c r="L11" s="767"/>
      <c r="M11" s="767"/>
      <c r="N11" s="59"/>
      <c r="O11" s="59"/>
      <c r="P11" s="59"/>
      <c r="Q11" s="59"/>
      <c r="R11" s="59"/>
      <c r="S11" s="59"/>
      <c r="T11" s="59"/>
      <c r="U11" s="59"/>
      <c r="V11" s="59"/>
    </row>
    <row r="12" spans="1:22" ht="13.5" thickBot="1" x14ac:dyDescent="0.25">
      <c r="A12" s="723" t="s">
        <v>356</v>
      </c>
      <c r="B12" s="724"/>
      <c r="C12" s="725"/>
      <c r="D12" s="65">
        <v>0</v>
      </c>
      <c r="E12" s="61"/>
      <c r="F12" s="62"/>
      <c r="G12" s="28">
        <f t="shared" si="0"/>
        <v>0</v>
      </c>
      <c r="H12" s="59"/>
      <c r="I12" s="805"/>
      <c r="J12" s="806"/>
      <c r="K12" s="767"/>
      <c r="L12" s="767"/>
      <c r="M12" s="767"/>
      <c r="N12" s="59"/>
      <c r="O12" s="59"/>
      <c r="P12" s="59"/>
      <c r="Q12" s="59"/>
      <c r="R12" s="59"/>
      <c r="S12" s="59"/>
      <c r="T12" s="59"/>
      <c r="U12" s="59"/>
      <c r="V12" s="59"/>
    </row>
    <row r="13" spans="1:22" ht="13.5" thickBot="1" x14ac:dyDescent="0.25">
      <c r="A13" s="723" t="s">
        <v>357</v>
      </c>
      <c r="B13" s="724"/>
      <c r="C13" s="725"/>
      <c r="D13" s="65">
        <v>0</v>
      </c>
      <c r="E13" s="61"/>
      <c r="F13" s="62"/>
      <c r="G13" s="28">
        <f t="shared" si="0"/>
        <v>0</v>
      </c>
      <c r="H13" s="59"/>
      <c r="I13" s="780" t="s">
        <v>358</v>
      </c>
      <c r="J13" s="780"/>
      <c r="K13" s="131">
        <v>100</v>
      </c>
      <c r="L13" s="85">
        <v>2</v>
      </c>
      <c r="M13" s="131">
        <f>L13*K13</f>
        <v>200</v>
      </c>
      <c r="N13" s="59"/>
      <c r="O13" s="59"/>
      <c r="P13" s="59"/>
      <c r="Q13" s="59"/>
      <c r="R13" s="59"/>
      <c r="S13" s="59"/>
      <c r="T13" s="59"/>
      <c r="U13" s="59"/>
      <c r="V13" s="59"/>
    </row>
    <row r="14" spans="1:22" ht="13.5" thickBot="1" x14ac:dyDescent="0.25">
      <c r="A14" s="723" t="s">
        <v>359</v>
      </c>
      <c r="B14" s="724"/>
      <c r="C14" s="725"/>
      <c r="D14" s="65">
        <v>0</v>
      </c>
      <c r="E14" s="61"/>
      <c r="F14" s="62"/>
      <c r="G14" s="28">
        <f t="shared" si="0"/>
        <v>0</v>
      </c>
      <c r="H14" s="59"/>
      <c r="I14" s="59"/>
      <c r="J14" s="59"/>
      <c r="K14" s="59"/>
      <c r="L14" s="59"/>
      <c r="M14" s="59"/>
      <c r="N14" s="59"/>
      <c r="O14" s="59"/>
      <c r="P14" s="59"/>
      <c r="Q14" s="59"/>
      <c r="R14" s="59"/>
      <c r="S14" s="59"/>
      <c r="T14" s="59"/>
      <c r="U14" s="59"/>
      <c r="V14" s="59"/>
    </row>
    <row r="15" spans="1:22" ht="13.5" thickBot="1" x14ac:dyDescent="0.25">
      <c r="A15" s="723" t="s">
        <v>360</v>
      </c>
      <c r="B15" s="724"/>
      <c r="C15" s="725"/>
      <c r="D15" s="65">
        <v>0</v>
      </c>
      <c r="E15" s="61"/>
      <c r="F15" s="62"/>
      <c r="G15" s="28">
        <f t="shared" si="0"/>
        <v>0</v>
      </c>
      <c r="H15" s="59"/>
      <c r="I15" s="59"/>
      <c r="J15" s="59"/>
      <c r="K15" s="59"/>
      <c r="L15" s="59"/>
      <c r="M15" s="59"/>
      <c r="N15" s="59"/>
      <c r="O15" s="59"/>
      <c r="P15" s="59"/>
      <c r="Q15" s="59"/>
      <c r="R15" s="59"/>
      <c r="S15" s="59"/>
      <c r="T15" s="59"/>
      <c r="U15" s="59"/>
      <c r="V15" s="59"/>
    </row>
    <row r="16" spans="1:22" ht="13.5" thickBot="1" x14ac:dyDescent="0.25">
      <c r="A16" s="723" t="s">
        <v>361</v>
      </c>
      <c r="B16" s="724"/>
      <c r="C16" s="725"/>
      <c r="D16" s="65">
        <v>0</v>
      </c>
      <c r="E16" s="61"/>
      <c r="F16" s="62"/>
      <c r="G16" s="28">
        <f t="shared" si="0"/>
        <v>0</v>
      </c>
      <c r="H16" s="59"/>
      <c r="I16" s="326" t="s">
        <v>276</v>
      </c>
      <c r="J16" s="327"/>
      <c r="K16" s="343"/>
      <c r="L16" s="59"/>
      <c r="M16" s="59"/>
      <c r="N16" s="59"/>
      <c r="O16" s="59"/>
      <c r="P16" s="59"/>
      <c r="Q16" s="59"/>
      <c r="R16" s="59"/>
      <c r="S16" s="59"/>
      <c r="T16" s="59"/>
      <c r="U16" s="59"/>
      <c r="V16" s="59"/>
    </row>
    <row r="17" spans="1:22" ht="13.5" thickBot="1" x14ac:dyDescent="0.25">
      <c r="A17" s="723" t="s">
        <v>362</v>
      </c>
      <c r="B17" s="724"/>
      <c r="C17" s="725"/>
      <c r="D17" s="65">
        <v>0</v>
      </c>
      <c r="E17" s="61"/>
      <c r="F17" s="62"/>
      <c r="G17" s="28">
        <f t="shared" si="0"/>
        <v>0</v>
      </c>
      <c r="H17" s="59"/>
      <c r="I17" s="328" t="s">
        <v>7</v>
      </c>
      <c r="J17" s="329"/>
      <c r="K17" s="344"/>
      <c r="L17" s="59"/>
      <c r="M17" s="59"/>
      <c r="N17" s="59"/>
      <c r="O17" s="59"/>
      <c r="P17" s="59"/>
      <c r="Q17" s="59"/>
      <c r="R17" s="59"/>
      <c r="S17" s="59"/>
      <c r="T17" s="59"/>
      <c r="U17" s="59"/>
      <c r="V17" s="59"/>
    </row>
    <row r="18" spans="1:22" ht="13.5" thickBot="1" x14ac:dyDescent="0.25">
      <c r="A18" s="723" t="s">
        <v>363</v>
      </c>
      <c r="B18" s="724"/>
      <c r="C18" s="725"/>
      <c r="D18" s="65">
        <v>0</v>
      </c>
      <c r="E18" s="61"/>
      <c r="F18" s="62"/>
      <c r="G18" s="28">
        <f t="shared" si="0"/>
        <v>0</v>
      </c>
      <c r="H18" s="59"/>
      <c r="I18" s="330" t="s">
        <v>8</v>
      </c>
      <c r="J18" s="331"/>
      <c r="K18" s="321"/>
      <c r="L18" s="59"/>
      <c r="M18" s="59"/>
      <c r="N18" s="59"/>
      <c r="O18" s="59"/>
      <c r="P18" s="59"/>
      <c r="Q18" s="59"/>
      <c r="R18" s="59"/>
      <c r="S18" s="59"/>
      <c r="T18" s="59"/>
      <c r="U18" s="59"/>
      <c r="V18" s="59"/>
    </row>
    <row r="19" spans="1:22" ht="13.5" thickBot="1" x14ac:dyDescent="0.25">
      <c r="A19" s="723" t="s">
        <v>364</v>
      </c>
      <c r="B19" s="724"/>
      <c r="C19" s="725"/>
      <c r="D19" s="65">
        <v>0</v>
      </c>
      <c r="E19" s="61"/>
      <c r="F19" s="62"/>
      <c r="G19" s="28">
        <f t="shared" si="0"/>
        <v>0</v>
      </c>
      <c r="H19" s="59"/>
      <c r="I19" s="330" t="s">
        <v>9</v>
      </c>
      <c r="J19" s="331"/>
      <c r="K19" s="321"/>
      <c r="L19" s="59"/>
      <c r="M19" s="59"/>
      <c r="N19" s="59"/>
      <c r="O19" s="59"/>
      <c r="P19" s="59"/>
      <c r="Q19" s="59"/>
      <c r="R19" s="59"/>
      <c r="S19" s="59"/>
      <c r="T19" s="59"/>
      <c r="U19" s="59"/>
      <c r="V19" s="59"/>
    </row>
    <row r="20" spans="1:22" ht="13.5" thickBot="1" x14ac:dyDescent="0.25">
      <c r="A20" s="723" t="s">
        <v>365</v>
      </c>
      <c r="B20" s="724"/>
      <c r="C20" s="725"/>
      <c r="D20" s="65">
        <v>0</v>
      </c>
      <c r="E20" s="61"/>
      <c r="F20" s="62"/>
      <c r="G20" s="28">
        <f t="shared" si="0"/>
        <v>0</v>
      </c>
      <c r="H20" s="59"/>
      <c r="I20" s="330" t="s">
        <v>277</v>
      </c>
      <c r="J20" s="331"/>
      <c r="K20" s="321"/>
      <c r="L20" s="59"/>
      <c r="M20" s="59"/>
      <c r="N20" s="59"/>
      <c r="O20" s="59"/>
      <c r="P20" s="59"/>
      <c r="Q20" s="59"/>
      <c r="R20" s="59"/>
      <c r="S20" s="59"/>
      <c r="T20" s="59"/>
      <c r="U20" s="59"/>
      <c r="V20" s="59"/>
    </row>
    <row r="21" spans="1:22" ht="13.5" thickBot="1" x14ac:dyDescent="0.25">
      <c r="A21" s="723" t="s">
        <v>366</v>
      </c>
      <c r="B21" s="724"/>
      <c r="C21" s="725"/>
      <c r="D21" s="65">
        <v>0</v>
      </c>
      <c r="E21" s="61"/>
      <c r="F21" s="62"/>
      <c r="G21" s="28">
        <f t="shared" si="0"/>
        <v>0</v>
      </c>
      <c r="H21" s="59"/>
      <c r="I21" s="330" t="s">
        <v>11</v>
      </c>
      <c r="J21" s="331"/>
      <c r="K21" s="321"/>
      <c r="L21" s="59"/>
      <c r="M21" s="59"/>
      <c r="N21" s="59"/>
      <c r="O21" s="59"/>
      <c r="P21" s="59"/>
      <c r="Q21" s="59"/>
      <c r="R21" s="59"/>
      <c r="S21" s="59"/>
      <c r="T21" s="59"/>
      <c r="U21" s="59"/>
      <c r="V21" s="59"/>
    </row>
    <row r="22" spans="1:22" ht="13.5" thickBot="1" x14ac:dyDescent="0.25">
      <c r="A22" s="723" t="s">
        <v>367</v>
      </c>
      <c r="B22" s="724"/>
      <c r="C22" s="725"/>
      <c r="D22" s="65">
        <v>0</v>
      </c>
      <c r="E22" s="61"/>
      <c r="F22" s="62"/>
      <c r="G22" s="28">
        <f t="shared" si="0"/>
        <v>0</v>
      </c>
      <c r="H22" s="59"/>
      <c r="I22" s="332" t="s">
        <v>15</v>
      </c>
      <c r="J22" s="333"/>
      <c r="K22" s="345"/>
      <c r="L22" s="59"/>
      <c r="M22" s="59"/>
      <c r="N22" s="59"/>
      <c r="O22" s="59"/>
      <c r="P22" s="59"/>
      <c r="Q22" s="59"/>
      <c r="R22" s="59"/>
      <c r="S22" s="59"/>
      <c r="T22" s="59"/>
      <c r="U22" s="59"/>
      <c r="V22" s="59"/>
    </row>
    <row r="23" spans="1:22" ht="13.5" thickBot="1" x14ac:dyDescent="0.25">
      <c r="A23" s="723" t="s">
        <v>368</v>
      </c>
      <c r="B23" s="724"/>
      <c r="C23" s="725"/>
      <c r="D23" s="65">
        <v>0</v>
      </c>
      <c r="E23" s="61"/>
      <c r="F23" s="62"/>
      <c r="G23" s="28">
        <f t="shared" si="0"/>
        <v>0</v>
      </c>
      <c r="H23" s="59"/>
      <c r="I23" s="59"/>
      <c r="J23" s="59"/>
      <c r="K23" s="59"/>
      <c r="L23" s="59"/>
      <c r="M23" s="59"/>
      <c r="N23" s="59"/>
      <c r="O23" s="59"/>
      <c r="P23" s="59"/>
      <c r="Q23" s="59"/>
      <c r="R23" s="59"/>
      <c r="S23" s="59"/>
      <c r="T23" s="59"/>
      <c r="U23" s="59"/>
      <c r="V23" s="59"/>
    </row>
    <row r="24" spans="1:22" ht="13.5" thickBot="1" x14ac:dyDescent="0.25">
      <c r="A24" s="723" t="s">
        <v>369</v>
      </c>
      <c r="B24" s="724"/>
      <c r="C24" s="725"/>
      <c r="D24" s="65">
        <v>0</v>
      </c>
      <c r="E24" s="61"/>
      <c r="F24" s="62"/>
      <c r="G24" s="28">
        <f t="shared" si="0"/>
        <v>0</v>
      </c>
      <c r="H24" s="59"/>
      <c r="I24" s="59"/>
      <c r="J24" s="59"/>
      <c r="K24" s="59"/>
      <c r="L24" s="59"/>
      <c r="M24" s="59"/>
      <c r="N24" s="59"/>
      <c r="O24" s="59"/>
      <c r="P24" s="59"/>
      <c r="Q24" s="59"/>
      <c r="R24" s="59"/>
      <c r="S24" s="59"/>
      <c r="T24" s="59"/>
      <c r="U24" s="59"/>
      <c r="V24" s="59"/>
    </row>
    <row r="25" spans="1:22" ht="13.5" customHeight="1" thickBot="1" x14ac:dyDescent="0.25">
      <c r="A25" s="723" t="s">
        <v>370</v>
      </c>
      <c r="B25" s="724"/>
      <c r="C25" s="725"/>
      <c r="D25" s="65">
        <v>0</v>
      </c>
      <c r="E25" s="61"/>
      <c r="F25" s="62"/>
      <c r="G25" s="28">
        <f t="shared" si="0"/>
        <v>0</v>
      </c>
      <c r="H25" s="59"/>
      <c r="I25" s="73"/>
      <c r="J25" s="73"/>
      <c r="K25" s="73"/>
      <c r="L25" s="73"/>
      <c r="M25" s="59"/>
      <c r="N25" s="59"/>
      <c r="O25" s="59"/>
      <c r="P25" s="59"/>
      <c r="Q25" s="59"/>
      <c r="R25" s="59"/>
      <c r="S25" s="59"/>
      <c r="T25" s="59"/>
      <c r="U25" s="59"/>
      <c r="V25" s="59"/>
    </row>
    <row r="26" spans="1:22" ht="13.5" thickBot="1" x14ac:dyDescent="0.25">
      <c r="A26" s="66" t="s">
        <v>371</v>
      </c>
      <c r="B26" s="67"/>
      <c r="C26" s="68"/>
      <c r="D26" s="65">
        <v>0</v>
      </c>
      <c r="E26" s="61"/>
      <c r="F26" s="62"/>
      <c r="G26" s="28">
        <f t="shared" si="0"/>
        <v>0</v>
      </c>
      <c r="H26" s="59"/>
      <c r="I26" s="73"/>
      <c r="J26" s="73"/>
      <c r="K26" s="73"/>
      <c r="L26" s="73"/>
      <c r="M26" s="59"/>
      <c r="N26" s="59"/>
      <c r="O26" s="59"/>
      <c r="P26" s="59"/>
      <c r="Q26" s="59"/>
      <c r="R26" s="59"/>
      <c r="S26" s="59"/>
      <c r="T26" s="59"/>
      <c r="U26" s="59"/>
      <c r="V26" s="59"/>
    </row>
    <row r="27" spans="1:22" ht="13.5" thickBot="1" x14ac:dyDescent="0.25">
      <c r="A27" s="798" t="s">
        <v>372</v>
      </c>
      <c r="B27" s="799"/>
      <c r="C27" s="800"/>
      <c r="D27" s="65">
        <v>0</v>
      </c>
      <c r="E27" s="61"/>
      <c r="F27" s="62"/>
      <c r="G27" s="28">
        <f t="shared" si="0"/>
        <v>0</v>
      </c>
      <c r="H27" s="59"/>
      <c r="I27" s="73"/>
      <c r="J27" s="73"/>
      <c r="K27" s="73"/>
      <c r="L27" s="73"/>
      <c r="M27" s="59"/>
      <c r="N27" s="59"/>
      <c r="O27" s="59"/>
      <c r="P27" s="59"/>
      <c r="Q27" s="59"/>
      <c r="R27" s="59"/>
      <c r="S27" s="59"/>
      <c r="T27" s="59"/>
      <c r="U27" s="59"/>
      <c r="V27" s="59"/>
    </row>
    <row r="28" spans="1:22" ht="15.75" customHeight="1" x14ac:dyDescent="0.2">
      <c r="A28" s="792" t="s">
        <v>373</v>
      </c>
      <c r="B28" s="793"/>
      <c r="C28" s="793"/>
      <c r="D28" s="793"/>
      <c r="E28" s="792" t="s">
        <v>273</v>
      </c>
      <c r="F28" s="796"/>
      <c r="G28" s="788">
        <f>SUM(G8:G27)</f>
        <v>0</v>
      </c>
      <c r="H28" s="59"/>
      <c r="I28" s="73"/>
      <c r="J28" s="73"/>
      <c r="K28" s="73"/>
      <c r="L28" s="73"/>
      <c r="M28" s="59"/>
      <c r="N28" s="59"/>
      <c r="O28" s="59"/>
      <c r="P28" s="59"/>
      <c r="Q28" s="59"/>
      <c r="R28" s="59"/>
      <c r="S28" s="59"/>
      <c r="T28" s="59"/>
      <c r="U28" s="59"/>
      <c r="V28" s="59"/>
    </row>
    <row r="29" spans="1:22" ht="13.5" thickBot="1" x14ac:dyDescent="0.25">
      <c r="A29" s="794"/>
      <c r="B29" s="795"/>
      <c r="C29" s="795"/>
      <c r="D29" s="795"/>
      <c r="E29" s="794"/>
      <c r="F29" s="797"/>
      <c r="G29" s="789"/>
      <c r="H29" s="59"/>
      <c r="I29" s="133"/>
      <c r="J29" s="134"/>
      <c r="K29" s="134"/>
      <c r="L29" s="59"/>
      <c r="M29" s="59"/>
      <c r="N29" s="59"/>
      <c r="O29" s="59"/>
      <c r="P29" s="59"/>
      <c r="Q29" s="59"/>
      <c r="R29" s="59"/>
      <c r="S29" s="59"/>
      <c r="T29" s="59"/>
      <c r="U29" s="59"/>
      <c r="V29" s="59"/>
    </row>
    <row r="30" spans="1:22" x14ac:dyDescent="0.2">
      <c r="A30" s="59"/>
      <c r="B30" s="59"/>
      <c r="C30" s="59"/>
      <c r="D30" s="59"/>
      <c r="E30" s="59"/>
      <c r="F30" s="59"/>
      <c r="G30" s="59"/>
      <c r="H30" s="59"/>
      <c r="I30" s="135"/>
      <c r="J30" s="109"/>
      <c r="K30" s="109"/>
      <c r="L30" s="59"/>
      <c r="M30" s="59"/>
      <c r="N30" s="59"/>
      <c r="O30" s="59"/>
      <c r="P30" s="59"/>
      <c r="Q30" s="59"/>
      <c r="R30" s="59"/>
      <c r="S30" s="59"/>
      <c r="T30" s="59"/>
      <c r="U30" s="59"/>
      <c r="V30" s="59"/>
    </row>
    <row r="31" spans="1:22" x14ac:dyDescent="0.2">
      <c r="A31" s="59"/>
      <c r="B31" s="59"/>
      <c r="C31" s="59"/>
      <c r="D31" s="59"/>
      <c r="E31" s="59"/>
      <c r="F31" s="59"/>
      <c r="G31" s="59"/>
      <c r="H31" s="59"/>
      <c r="I31" s="59"/>
      <c r="J31" s="59"/>
      <c r="K31" s="59"/>
      <c r="L31" s="59"/>
      <c r="M31" s="59"/>
      <c r="N31" s="59"/>
      <c r="O31" s="59"/>
      <c r="P31" s="59"/>
      <c r="Q31" s="59"/>
      <c r="R31" s="59"/>
      <c r="S31" s="59"/>
      <c r="T31" s="59"/>
      <c r="U31" s="59"/>
      <c r="V31" s="59"/>
    </row>
    <row r="32" spans="1:22" x14ac:dyDescent="0.2">
      <c r="A32" s="59"/>
      <c r="B32" s="59"/>
      <c r="C32" s="59"/>
      <c r="D32" s="59"/>
      <c r="E32" s="59"/>
      <c r="F32" s="59"/>
      <c r="G32" s="59"/>
      <c r="H32" s="59"/>
      <c r="I32" s="59"/>
      <c r="J32" s="59"/>
      <c r="K32" s="59"/>
      <c r="L32" s="59"/>
      <c r="M32" s="59"/>
      <c r="N32" s="59"/>
      <c r="O32" s="59"/>
      <c r="P32" s="59"/>
      <c r="Q32" s="59"/>
      <c r="R32" s="59"/>
      <c r="S32" s="59"/>
      <c r="T32" s="59"/>
      <c r="U32" s="59"/>
      <c r="V32" s="59"/>
    </row>
    <row r="33" spans="1:22" x14ac:dyDescent="0.2">
      <c r="A33" s="59"/>
      <c r="B33" s="59"/>
      <c r="C33" s="59"/>
      <c r="D33" s="59"/>
      <c r="E33" s="59"/>
      <c r="F33" s="59"/>
      <c r="G33" s="59"/>
      <c r="H33" s="59"/>
      <c r="I33" s="59"/>
      <c r="J33" s="59"/>
      <c r="K33" s="59"/>
      <c r="L33" s="59"/>
      <c r="M33" s="59"/>
      <c r="N33" s="59"/>
      <c r="O33" s="59"/>
      <c r="P33" s="59"/>
      <c r="Q33" s="59"/>
      <c r="R33" s="59"/>
      <c r="S33" s="59"/>
      <c r="T33" s="59"/>
      <c r="U33" s="59"/>
      <c r="V33" s="59"/>
    </row>
    <row r="34" spans="1:22" x14ac:dyDescent="0.2">
      <c r="A34" s="59"/>
      <c r="B34" s="127"/>
      <c r="C34" s="59"/>
      <c r="D34" s="127"/>
      <c r="E34" s="127"/>
      <c r="F34" s="127"/>
      <c r="G34" s="127"/>
      <c r="H34" s="59"/>
      <c r="I34" s="59"/>
      <c r="J34" s="59"/>
      <c r="K34" s="59"/>
      <c r="L34" s="59"/>
      <c r="M34" s="59"/>
      <c r="N34" s="59"/>
      <c r="O34" s="59"/>
      <c r="P34" s="59"/>
      <c r="Q34" s="59"/>
      <c r="R34" s="59"/>
      <c r="S34" s="59"/>
      <c r="T34" s="59"/>
      <c r="U34" s="59"/>
      <c r="V34" s="59"/>
    </row>
    <row r="35" spans="1:22" x14ac:dyDescent="0.2">
      <c r="A35" s="59"/>
      <c r="B35" s="59"/>
      <c r="C35" s="59"/>
      <c r="D35" s="59"/>
      <c r="E35" s="59"/>
      <c r="F35" s="59"/>
      <c r="G35" s="59"/>
      <c r="H35" s="59"/>
      <c r="I35" s="135"/>
      <c r="J35" s="135"/>
      <c r="K35" s="135"/>
      <c r="L35" s="59"/>
      <c r="M35" s="59"/>
      <c r="N35" s="59"/>
      <c r="O35" s="59"/>
      <c r="P35" s="59"/>
      <c r="Q35" s="59"/>
      <c r="R35" s="59"/>
      <c r="S35" s="59"/>
      <c r="T35" s="59"/>
      <c r="U35" s="59"/>
      <c r="V35" s="59"/>
    </row>
    <row r="36" spans="1:22" x14ac:dyDescent="0.2">
      <c r="A36" s="116"/>
      <c r="B36" s="59"/>
      <c r="C36" s="59"/>
      <c r="D36" s="127"/>
      <c r="E36" s="127"/>
      <c r="F36" s="127"/>
      <c r="G36" s="127"/>
      <c r="H36" s="59"/>
      <c r="I36" s="59"/>
      <c r="J36" s="59"/>
      <c r="K36" s="59"/>
      <c r="L36" s="59"/>
      <c r="M36" s="59"/>
      <c r="N36" s="59"/>
      <c r="O36" s="59"/>
      <c r="P36" s="59"/>
      <c r="Q36" s="59"/>
      <c r="R36" s="59"/>
      <c r="S36" s="59"/>
      <c r="T36" s="59"/>
      <c r="U36" s="59"/>
      <c r="V36" s="59"/>
    </row>
    <row r="37" spans="1:22" x14ac:dyDescent="0.2">
      <c r="A37" s="59"/>
      <c r="B37" s="59"/>
      <c r="C37" s="59"/>
      <c r="D37" s="59"/>
      <c r="E37" s="59"/>
      <c r="F37" s="59"/>
      <c r="G37" s="59"/>
      <c r="H37" s="59"/>
      <c r="I37" s="59"/>
      <c r="J37" s="59"/>
      <c r="K37" s="59"/>
      <c r="L37" s="59"/>
      <c r="M37" s="59"/>
      <c r="N37" s="59"/>
      <c r="O37" s="59"/>
      <c r="P37" s="59"/>
      <c r="Q37" s="59"/>
      <c r="R37" s="59"/>
      <c r="S37" s="59"/>
      <c r="T37" s="59"/>
      <c r="U37" s="59"/>
      <c r="V37" s="59"/>
    </row>
    <row r="38" spans="1:22" x14ac:dyDescent="0.2">
      <c r="A38" s="59"/>
      <c r="B38" s="59"/>
      <c r="C38" s="59"/>
      <c r="D38" s="59"/>
      <c r="E38" s="59"/>
      <c r="F38" s="59"/>
      <c r="G38" s="59"/>
      <c r="H38" s="59"/>
      <c r="I38" s="59"/>
      <c r="J38" s="59"/>
      <c r="K38" s="59"/>
      <c r="L38" s="59"/>
      <c r="M38" s="59"/>
      <c r="N38" s="59"/>
      <c r="O38" s="59"/>
      <c r="P38" s="59"/>
      <c r="Q38" s="59"/>
      <c r="R38" s="59"/>
      <c r="S38" s="59"/>
      <c r="T38" s="59"/>
      <c r="U38" s="59"/>
      <c r="V38" s="59"/>
    </row>
    <row r="39" spans="1:22" x14ac:dyDescent="0.2">
      <c r="A39" s="59"/>
      <c r="B39" s="59"/>
      <c r="C39" s="59"/>
      <c r="D39" s="59"/>
      <c r="E39" s="59"/>
      <c r="F39" s="59"/>
      <c r="G39" s="59"/>
      <c r="H39" s="59"/>
      <c r="I39" s="59"/>
      <c r="J39" s="59"/>
      <c r="K39" s="59"/>
      <c r="L39" s="59"/>
      <c r="M39" s="59"/>
      <c r="N39" s="59"/>
      <c r="O39" s="59"/>
      <c r="P39" s="59"/>
      <c r="Q39" s="59"/>
      <c r="R39" s="59"/>
      <c r="S39" s="59"/>
      <c r="T39" s="59"/>
      <c r="U39" s="59"/>
      <c r="V39" s="59"/>
    </row>
    <row r="40" spans="1:22" x14ac:dyDescent="0.2">
      <c r="A40" s="59"/>
      <c r="B40" s="59"/>
      <c r="C40" s="59"/>
      <c r="D40" s="59"/>
      <c r="E40" s="59"/>
      <c r="F40" s="59"/>
      <c r="G40" s="59"/>
      <c r="H40" s="59"/>
      <c r="I40" s="59"/>
      <c r="J40" s="59"/>
      <c r="K40" s="59"/>
      <c r="L40" s="59"/>
      <c r="M40" s="59"/>
      <c r="N40" s="59"/>
      <c r="O40" s="59"/>
      <c r="P40" s="59"/>
      <c r="Q40" s="59"/>
      <c r="R40" s="59"/>
      <c r="S40" s="59"/>
      <c r="T40" s="59"/>
      <c r="U40" s="59"/>
      <c r="V40" s="59"/>
    </row>
    <row r="41" spans="1:22" x14ac:dyDescent="0.2">
      <c r="A41" s="59"/>
      <c r="B41" s="59"/>
      <c r="C41" s="59"/>
      <c r="D41" s="59"/>
      <c r="E41" s="59"/>
      <c r="F41" s="59"/>
      <c r="G41" s="59"/>
      <c r="H41" s="59"/>
      <c r="I41" s="59"/>
      <c r="J41" s="59"/>
      <c r="K41" s="59"/>
      <c r="L41" s="59"/>
      <c r="M41" s="59"/>
      <c r="N41" s="59"/>
      <c r="O41" s="59"/>
      <c r="P41" s="59"/>
      <c r="Q41" s="59"/>
      <c r="R41" s="59"/>
      <c r="S41" s="59"/>
      <c r="T41" s="59"/>
      <c r="U41" s="59"/>
      <c r="V41" s="59"/>
    </row>
    <row r="42" spans="1:22" x14ac:dyDescent="0.2">
      <c r="A42" s="59"/>
      <c r="B42" s="59"/>
      <c r="C42" s="59"/>
      <c r="D42" s="59"/>
      <c r="E42" s="59"/>
      <c r="F42" s="59"/>
      <c r="G42" s="59"/>
      <c r="H42" s="59"/>
      <c r="I42" s="59"/>
      <c r="J42" s="59"/>
      <c r="K42" s="59"/>
      <c r="L42" s="59"/>
      <c r="M42" s="125"/>
      <c r="N42" s="59"/>
      <c r="O42" s="59"/>
      <c r="P42" s="59"/>
      <c r="Q42" s="59"/>
      <c r="R42" s="59"/>
      <c r="S42" s="59"/>
      <c r="T42" s="59"/>
      <c r="U42" s="59"/>
      <c r="V42" s="59"/>
    </row>
    <row r="43" spans="1:22" x14ac:dyDescent="0.2">
      <c r="A43" s="59"/>
      <c r="B43" s="59"/>
      <c r="C43" s="59"/>
      <c r="D43" s="59"/>
      <c r="E43" s="59"/>
      <c r="F43" s="59"/>
      <c r="G43" s="59"/>
      <c r="H43" s="59"/>
      <c r="I43" s="59"/>
      <c r="J43" s="59"/>
      <c r="K43" s="59"/>
      <c r="L43" s="59"/>
      <c r="M43" s="59"/>
      <c r="N43" s="59"/>
      <c r="O43" s="59"/>
      <c r="P43" s="59"/>
      <c r="Q43" s="59"/>
      <c r="R43" s="59"/>
      <c r="S43" s="59"/>
      <c r="T43" s="59"/>
      <c r="U43" s="59"/>
      <c r="V43" s="59"/>
    </row>
    <row r="44" spans="1:22" x14ac:dyDescent="0.2">
      <c r="A44" s="59"/>
      <c r="B44" s="59"/>
      <c r="C44" s="59"/>
      <c r="D44" s="59"/>
      <c r="E44" s="59"/>
      <c r="F44" s="59"/>
      <c r="G44" s="59"/>
      <c r="H44" s="59"/>
      <c r="I44" s="59"/>
      <c r="J44" s="59"/>
      <c r="K44" s="59"/>
      <c r="L44" s="59"/>
      <c r="M44" s="59"/>
      <c r="N44" s="59"/>
      <c r="O44" s="59"/>
      <c r="P44" s="59"/>
      <c r="Q44" s="59"/>
      <c r="R44" s="59"/>
      <c r="S44" s="59"/>
      <c r="T44" s="59"/>
      <c r="U44" s="59"/>
      <c r="V44" s="59"/>
    </row>
    <row r="45" spans="1:22" x14ac:dyDescent="0.2">
      <c r="A45" s="59"/>
      <c r="B45" s="59"/>
      <c r="C45" s="59"/>
      <c r="D45" s="59"/>
      <c r="E45" s="59"/>
      <c r="F45" s="59"/>
      <c r="G45" s="59"/>
      <c r="H45" s="59"/>
      <c r="I45" s="59"/>
      <c r="J45" s="59"/>
      <c r="K45" s="59"/>
      <c r="L45" s="59"/>
      <c r="M45" s="59"/>
      <c r="N45" s="59"/>
      <c r="O45" s="59"/>
      <c r="P45" s="59"/>
      <c r="Q45" s="59"/>
      <c r="R45" s="59"/>
      <c r="S45" s="59"/>
      <c r="T45" s="59"/>
      <c r="U45" s="59"/>
      <c r="V45" s="59"/>
    </row>
    <row r="46" spans="1:22" x14ac:dyDescent="0.2">
      <c r="A46" s="59"/>
      <c r="B46" s="59"/>
      <c r="C46" s="59"/>
      <c r="D46" s="59"/>
      <c r="E46" s="59"/>
      <c r="F46" s="59"/>
      <c r="G46" s="59"/>
      <c r="H46" s="59"/>
      <c r="I46" s="59"/>
      <c r="J46" s="59"/>
      <c r="K46" s="59"/>
      <c r="L46" s="59"/>
      <c r="M46" s="59"/>
      <c r="N46" s="59"/>
      <c r="O46" s="59"/>
      <c r="P46" s="59"/>
      <c r="Q46" s="59"/>
      <c r="R46" s="59"/>
      <c r="S46" s="59"/>
      <c r="T46" s="59"/>
      <c r="U46" s="59"/>
      <c r="V46" s="59"/>
    </row>
    <row r="47" spans="1:22" x14ac:dyDescent="0.2">
      <c r="A47" s="59"/>
      <c r="B47" s="59"/>
      <c r="C47" s="59"/>
      <c r="D47" s="59"/>
      <c r="E47" s="59"/>
      <c r="F47" s="59"/>
      <c r="G47" s="59"/>
      <c r="H47" s="59"/>
      <c r="I47" s="59"/>
      <c r="J47" s="59"/>
      <c r="K47" s="59"/>
      <c r="L47" s="59"/>
      <c r="M47" s="59"/>
      <c r="N47" s="59"/>
      <c r="O47" s="59"/>
      <c r="P47" s="59"/>
      <c r="Q47" s="59"/>
      <c r="R47" s="59"/>
      <c r="S47" s="59"/>
      <c r="T47" s="59"/>
      <c r="U47" s="59"/>
      <c r="V47" s="59"/>
    </row>
    <row r="48" spans="1:22" x14ac:dyDescent="0.2">
      <c r="A48" s="59"/>
      <c r="B48" s="59"/>
      <c r="C48" s="59"/>
      <c r="D48" s="59"/>
      <c r="E48" s="59"/>
      <c r="F48" s="59"/>
      <c r="G48" s="59"/>
      <c r="H48" s="59"/>
      <c r="I48" s="59"/>
      <c r="J48" s="59"/>
      <c r="K48" s="59"/>
      <c r="L48" s="59"/>
      <c r="M48" s="59"/>
      <c r="N48" s="59"/>
      <c r="O48" s="59"/>
      <c r="P48" s="59"/>
      <c r="Q48" s="59"/>
      <c r="R48" s="59"/>
      <c r="S48" s="59"/>
      <c r="T48" s="59"/>
      <c r="U48" s="59"/>
      <c r="V48" s="59"/>
    </row>
    <row r="49" spans="1:22" x14ac:dyDescent="0.2">
      <c r="A49" s="59"/>
      <c r="B49" s="59"/>
      <c r="C49" s="59"/>
      <c r="D49" s="59"/>
      <c r="E49" s="59"/>
      <c r="F49" s="59"/>
      <c r="G49" s="59"/>
      <c r="H49" s="59"/>
      <c r="I49" s="59"/>
      <c r="J49" s="59"/>
      <c r="K49" s="59"/>
      <c r="L49" s="59"/>
      <c r="M49" s="59"/>
      <c r="N49" s="59"/>
      <c r="O49" s="59"/>
      <c r="P49" s="59"/>
      <c r="Q49" s="59"/>
      <c r="R49" s="59"/>
      <c r="S49" s="59"/>
      <c r="T49" s="59"/>
      <c r="U49" s="59"/>
      <c r="V49" s="59"/>
    </row>
    <row r="50" spans="1:22" x14ac:dyDescent="0.2">
      <c r="A50" s="59"/>
      <c r="B50" s="59"/>
      <c r="C50" s="59"/>
      <c r="D50" s="59"/>
      <c r="E50" s="59"/>
      <c r="F50" s="59"/>
      <c r="G50" s="59"/>
      <c r="H50" s="59"/>
      <c r="I50" s="59"/>
      <c r="J50" s="59"/>
      <c r="K50" s="59"/>
      <c r="L50" s="59"/>
      <c r="M50" s="59"/>
      <c r="N50" s="59"/>
      <c r="O50" s="59"/>
      <c r="P50" s="59"/>
      <c r="Q50" s="59"/>
      <c r="R50" s="59"/>
      <c r="S50" s="59"/>
      <c r="T50" s="59"/>
      <c r="U50" s="59"/>
      <c r="V50" s="59"/>
    </row>
    <row r="51" spans="1:22" x14ac:dyDescent="0.2">
      <c r="A51" s="59"/>
      <c r="B51" s="59"/>
      <c r="C51" s="59"/>
      <c r="D51" s="59"/>
      <c r="E51" s="59"/>
      <c r="F51" s="59"/>
      <c r="G51" s="59"/>
      <c r="H51" s="59"/>
      <c r="I51" s="59"/>
      <c r="J51" s="59"/>
      <c r="K51" s="59"/>
      <c r="L51" s="59"/>
      <c r="M51" s="59"/>
      <c r="N51" s="59"/>
      <c r="O51" s="59"/>
      <c r="P51" s="59"/>
      <c r="Q51" s="59"/>
      <c r="R51" s="59"/>
      <c r="S51" s="59"/>
      <c r="T51" s="59"/>
      <c r="U51" s="59"/>
      <c r="V51" s="59"/>
    </row>
    <row r="52" spans="1:22" x14ac:dyDescent="0.2">
      <c r="A52" s="59"/>
      <c r="B52" s="59"/>
      <c r="C52" s="59"/>
      <c r="D52" s="59"/>
      <c r="E52" s="59"/>
      <c r="F52" s="59"/>
      <c r="G52" s="59"/>
      <c r="H52" s="59"/>
      <c r="I52" s="59"/>
      <c r="J52" s="59"/>
      <c r="K52" s="59"/>
      <c r="L52" s="59"/>
      <c r="M52" s="59"/>
      <c r="N52" s="59"/>
      <c r="O52" s="59"/>
      <c r="P52" s="59"/>
      <c r="Q52" s="59"/>
      <c r="R52" s="59"/>
      <c r="S52" s="59"/>
      <c r="T52" s="59"/>
      <c r="U52" s="59"/>
      <c r="V52" s="59"/>
    </row>
    <row r="53" spans="1:22" x14ac:dyDescent="0.2">
      <c r="A53" s="59"/>
      <c r="B53" s="59"/>
      <c r="C53" s="59"/>
      <c r="D53" s="59"/>
      <c r="E53" s="59"/>
      <c r="F53" s="59"/>
      <c r="G53" s="59"/>
      <c r="H53" s="59"/>
      <c r="I53" s="59"/>
      <c r="J53" s="59"/>
      <c r="K53" s="59"/>
      <c r="L53" s="59"/>
      <c r="M53" s="59"/>
      <c r="N53" s="59"/>
      <c r="O53" s="59"/>
      <c r="P53" s="59"/>
      <c r="Q53" s="59"/>
      <c r="R53" s="59"/>
      <c r="S53" s="59"/>
      <c r="T53" s="59"/>
      <c r="U53" s="59"/>
      <c r="V53" s="59"/>
    </row>
    <row r="54" spans="1:22" x14ac:dyDescent="0.2">
      <c r="A54" s="59"/>
      <c r="B54" s="59"/>
      <c r="C54" s="59"/>
      <c r="D54" s="59"/>
      <c r="E54" s="59"/>
      <c r="F54" s="59"/>
      <c r="G54" s="59"/>
      <c r="H54" s="59"/>
      <c r="I54" s="59"/>
      <c r="J54" s="59"/>
      <c r="K54" s="59"/>
      <c r="L54" s="59"/>
      <c r="M54" s="59"/>
      <c r="N54" s="59"/>
      <c r="O54" s="59"/>
      <c r="P54" s="59"/>
      <c r="Q54" s="59"/>
      <c r="R54" s="59"/>
      <c r="S54" s="59"/>
      <c r="T54" s="59"/>
      <c r="U54" s="59"/>
      <c r="V54" s="59"/>
    </row>
    <row r="55" spans="1:22" x14ac:dyDescent="0.2">
      <c r="A55" s="59"/>
      <c r="B55" s="59"/>
      <c r="C55" s="59"/>
      <c r="D55" s="59"/>
      <c r="E55" s="59"/>
      <c r="F55" s="59"/>
      <c r="G55" s="59"/>
      <c r="H55" s="59"/>
      <c r="I55" s="59"/>
      <c r="J55" s="59"/>
      <c r="K55" s="59"/>
      <c r="L55" s="59"/>
      <c r="M55" s="59"/>
      <c r="N55" s="59"/>
      <c r="O55" s="59"/>
      <c r="P55" s="59"/>
      <c r="Q55" s="59"/>
      <c r="R55" s="59"/>
      <c r="S55" s="59"/>
      <c r="T55" s="59"/>
      <c r="U55" s="59"/>
      <c r="V55" s="59"/>
    </row>
    <row r="56" spans="1:22" x14ac:dyDescent="0.2">
      <c r="A56" s="59"/>
      <c r="B56" s="59"/>
      <c r="C56" s="59"/>
      <c r="D56" s="59"/>
      <c r="E56" s="59"/>
      <c r="F56" s="59"/>
      <c r="G56" s="59"/>
      <c r="H56" s="59"/>
      <c r="I56" s="59"/>
      <c r="J56" s="59"/>
      <c r="K56" s="59"/>
      <c r="L56" s="59"/>
      <c r="M56" s="59"/>
      <c r="N56" s="59"/>
      <c r="O56" s="59"/>
      <c r="P56" s="59"/>
      <c r="Q56" s="59"/>
      <c r="R56" s="59"/>
      <c r="S56" s="59"/>
      <c r="T56" s="59"/>
      <c r="U56" s="59"/>
      <c r="V56" s="59"/>
    </row>
    <row r="57" spans="1:22" x14ac:dyDescent="0.2">
      <c r="A57" s="59"/>
      <c r="B57" s="59"/>
      <c r="C57" s="59"/>
      <c r="D57" s="59"/>
      <c r="E57" s="59"/>
      <c r="F57" s="59"/>
      <c r="G57" s="59"/>
      <c r="H57" s="59"/>
      <c r="I57" s="59"/>
      <c r="J57" s="59"/>
      <c r="K57" s="59"/>
      <c r="L57" s="59"/>
      <c r="M57" s="59"/>
      <c r="N57" s="59"/>
      <c r="O57" s="59"/>
      <c r="P57" s="59"/>
      <c r="Q57" s="59"/>
      <c r="R57" s="59"/>
      <c r="S57" s="59"/>
      <c r="T57" s="59"/>
      <c r="U57" s="59"/>
      <c r="V57" s="59"/>
    </row>
    <row r="58" spans="1:22" x14ac:dyDescent="0.2">
      <c r="A58" s="59"/>
      <c r="B58" s="59"/>
      <c r="C58" s="59"/>
      <c r="D58" s="59"/>
      <c r="E58" s="59"/>
      <c r="F58" s="59"/>
      <c r="G58" s="59"/>
      <c r="H58" s="59"/>
      <c r="I58" s="59"/>
      <c r="J58" s="59"/>
      <c r="K58" s="59"/>
      <c r="L58" s="59"/>
      <c r="M58" s="59"/>
      <c r="N58" s="59"/>
      <c r="O58" s="59"/>
      <c r="P58" s="59"/>
      <c r="Q58" s="59"/>
      <c r="R58" s="59"/>
      <c r="S58" s="59"/>
      <c r="T58" s="59"/>
      <c r="U58" s="59"/>
      <c r="V58" s="59"/>
    </row>
    <row r="59" spans="1:22" x14ac:dyDescent="0.2">
      <c r="A59" s="59"/>
      <c r="B59" s="59"/>
      <c r="C59" s="59"/>
      <c r="D59" s="59"/>
      <c r="E59" s="59"/>
      <c r="F59" s="59"/>
      <c r="G59" s="59"/>
      <c r="H59" s="59"/>
      <c r="I59" s="59"/>
      <c r="J59" s="59"/>
      <c r="K59" s="59"/>
      <c r="L59" s="59"/>
      <c r="M59" s="59"/>
      <c r="N59" s="59"/>
      <c r="O59" s="59"/>
      <c r="P59" s="59"/>
      <c r="Q59" s="59"/>
      <c r="R59" s="59"/>
      <c r="S59" s="59"/>
      <c r="T59" s="59"/>
      <c r="U59" s="59"/>
      <c r="V59" s="59"/>
    </row>
    <row r="60" spans="1:22" x14ac:dyDescent="0.2">
      <c r="A60" s="59"/>
      <c r="B60" s="59"/>
      <c r="C60" s="59"/>
      <c r="D60" s="59"/>
      <c r="E60" s="59"/>
      <c r="F60" s="59"/>
      <c r="G60" s="59"/>
      <c r="H60" s="59"/>
      <c r="I60" s="59"/>
      <c r="J60" s="59"/>
      <c r="K60" s="59"/>
      <c r="L60" s="59"/>
      <c r="M60" s="59"/>
      <c r="N60" s="59"/>
      <c r="O60" s="59"/>
      <c r="P60" s="59"/>
      <c r="Q60" s="59"/>
      <c r="R60" s="59"/>
      <c r="S60" s="59"/>
      <c r="T60" s="59"/>
      <c r="U60" s="59"/>
      <c r="V60" s="59"/>
    </row>
    <row r="61" spans="1:22" x14ac:dyDescent="0.2">
      <c r="A61" s="59"/>
      <c r="B61" s="59"/>
      <c r="C61" s="59"/>
      <c r="D61" s="59"/>
      <c r="E61" s="59"/>
      <c r="F61" s="59"/>
      <c r="G61" s="59"/>
      <c r="H61" s="59"/>
      <c r="I61" s="59"/>
      <c r="J61" s="59"/>
      <c r="K61" s="59"/>
      <c r="L61" s="59"/>
      <c r="M61" s="59"/>
      <c r="N61" s="59"/>
      <c r="O61" s="59"/>
      <c r="P61" s="59"/>
      <c r="Q61" s="59"/>
      <c r="R61" s="59"/>
      <c r="S61" s="59"/>
      <c r="T61" s="59"/>
      <c r="U61" s="59"/>
      <c r="V61" s="59"/>
    </row>
    <row r="62" spans="1:22" x14ac:dyDescent="0.2">
      <c r="A62" s="59"/>
      <c r="B62" s="59"/>
      <c r="C62" s="59"/>
      <c r="D62" s="59"/>
      <c r="E62" s="59"/>
      <c r="F62" s="59"/>
      <c r="G62" s="59"/>
      <c r="H62" s="59"/>
      <c r="I62" s="59"/>
      <c r="J62" s="59"/>
      <c r="K62" s="59"/>
      <c r="L62" s="59"/>
      <c r="M62" s="59"/>
      <c r="N62" s="59"/>
      <c r="O62" s="59"/>
      <c r="P62" s="59"/>
      <c r="Q62" s="59"/>
      <c r="R62" s="59"/>
      <c r="S62" s="59"/>
      <c r="T62" s="59"/>
      <c r="U62" s="59"/>
      <c r="V62" s="59"/>
    </row>
    <row r="63" spans="1:22" x14ac:dyDescent="0.2">
      <c r="A63" s="59"/>
      <c r="B63" s="59"/>
      <c r="C63" s="59"/>
      <c r="D63" s="59"/>
      <c r="E63" s="59"/>
      <c r="F63" s="59"/>
      <c r="G63" s="59"/>
      <c r="H63" s="59"/>
      <c r="I63" s="59"/>
      <c r="J63" s="59"/>
      <c r="K63" s="59"/>
      <c r="L63" s="59"/>
      <c r="M63" s="59"/>
      <c r="N63" s="59"/>
      <c r="O63" s="59"/>
      <c r="P63" s="59"/>
      <c r="Q63" s="59"/>
      <c r="R63" s="59"/>
      <c r="S63" s="59"/>
      <c r="T63" s="59"/>
      <c r="U63" s="59"/>
      <c r="V63" s="59"/>
    </row>
    <row r="64" spans="1:22" x14ac:dyDescent="0.2">
      <c r="A64" s="59"/>
      <c r="B64" s="59"/>
      <c r="C64" s="59"/>
      <c r="D64" s="59"/>
      <c r="E64" s="59"/>
      <c r="F64" s="59"/>
      <c r="G64" s="59"/>
      <c r="H64" s="59"/>
      <c r="I64" s="59"/>
      <c r="J64" s="59"/>
      <c r="K64" s="59"/>
      <c r="L64" s="59"/>
      <c r="M64" s="59"/>
      <c r="N64" s="59"/>
      <c r="O64" s="59"/>
      <c r="P64" s="59"/>
      <c r="Q64" s="59"/>
      <c r="R64" s="59"/>
      <c r="S64" s="59"/>
      <c r="T64" s="59"/>
      <c r="U64" s="59"/>
      <c r="V64" s="59"/>
    </row>
    <row r="65" spans="1:22" x14ac:dyDescent="0.2">
      <c r="A65" s="59"/>
      <c r="B65" s="59"/>
      <c r="C65" s="59"/>
      <c r="D65" s="59"/>
      <c r="E65" s="59"/>
      <c r="F65" s="59"/>
      <c r="G65" s="59"/>
      <c r="H65" s="59"/>
      <c r="I65" s="59"/>
      <c r="J65" s="59"/>
      <c r="K65" s="59"/>
      <c r="L65" s="59"/>
      <c r="M65" s="59"/>
      <c r="N65" s="59"/>
      <c r="O65" s="59"/>
      <c r="P65" s="59"/>
      <c r="Q65" s="59"/>
      <c r="R65" s="59"/>
      <c r="S65" s="59"/>
      <c r="T65" s="59"/>
      <c r="U65" s="59"/>
      <c r="V65" s="59"/>
    </row>
    <row r="66" spans="1:22" x14ac:dyDescent="0.2">
      <c r="A66" s="59"/>
      <c r="B66" s="59"/>
      <c r="C66" s="59"/>
      <c r="D66" s="59"/>
      <c r="E66" s="59"/>
      <c r="F66" s="59"/>
      <c r="G66" s="59"/>
      <c r="H66" s="59"/>
      <c r="I66" s="59"/>
      <c r="J66" s="59"/>
      <c r="K66" s="59"/>
      <c r="L66" s="59"/>
      <c r="M66" s="59"/>
      <c r="N66" s="59"/>
      <c r="O66" s="59"/>
      <c r="P66" s="59"/>
      <c r="Q66" s="59"/>
      <c r="R66" s="59"/>
      <c r="S66" s="59"/>
      <c r="T66" s="59"/>
      <c r="U66" s="59"/>
      <c r="V66" s="59"/>
    </row>
    <row r="67" spans="1:22" x14ac:dyDescent="0.2">
      <c r="A67" s="59"/>
      <c r="B67" s="59"/>
      <c r="C67" s="59"/>
      <c r="D67" s="59"/>
      <c r="E67" s="59"/>
      <c r="F67" s="59"/>
      <c r="G67" s="59"/>
      <c r="H67" s="59"/>
      <c r="I67" s="59"/>
      <c r="J67" s="59"/>
      <c r="K67" s="59"/>
      <c r="L67" s="59"/>
      <c r="M67" s="59"/>
      <c r="N67" s="59"/>
      <c r="O67" s="59"/>
      <c r="P67" s="59"/>
      <c r="Q67" s="59"/>
      <c r="R67" s="59"/>
      <c r="S67" s="59"/>
      <c r="T67" s="59"/>
      <c r="U67" s="59"/>
      <c r="V67" s="59"/>
    </row>
    <row r="68" spans="1:22" x14ac:dyDescent="0.2">
      <c r="A68" s="59"/>
      <c r="B68" s="59"/>
      <c r="C68" s="59"/>
      <c r="D68" s="59"/>
      <c r="E68" s="59"/>
      <c r="F68" s="59"/>
      <c r="G68" s="59"/>
      <c r="H68" s="59"/>
      <c r="I68" s="59"/>
      <c r="J68" s="59"/>
      <c r="K68" s="59"/>
      <c r="L68" s="59"/>
      <c r="M68" s="59"/>
      <c r="N68" s="59"/>
      <c r="O68" s="59"/>
      <c r="P68" s="59"/>
      <c r="Q68" s="59"/>
      <c r="R68" s="59"/>
      <c r="S68" s="59"/>
      <c r="T68" s="59"/>
      <c r="U68" s="59"/>
      <c r="V68" s="59"/>
    </row>
    <row r="69" spans="1:22" x14ac:dyDescent="0.2">
      <c r="A69" s="59"/>
      <c r="B69" s="59"/>
      <c r="C69" s="59"/>
      <c r="D69" s="59"/>
      <c r="E69" s="59"/>
      <c r="F69" s="59"/>
      <c r="G69" s="59"/>
      <c r="H69" s="59"/>
      <c r="I69" s="59"/>
      <c r="J69" s="59"/>
      <c r="K69" s="59"/>
      <c r="L69" s="59"/>
      <c r="M69" s="59"/>
      <c r="N69" s="59"/>
      <c r="O69" s="59"/>
      <c r="P69" s="59"/>
      <c r="Q69" s="59"/>
      <c r="R69" s="59"/>
      <c r="S69" s="59"/>
      <c r="T69" s="59"/>
      <c r="U69" s="59"/>
      <c r="V69" s="59"/>
    </row>
    <row r="70" spans="1:22" x14ac:dyDescent="0.2">
      <c r="A70" s="59"/>
      <c r="B70" s="59"/>
      <c r="C70" s="59"/>
      <c r="D70" s="59"/>
      <c r="E70" s="59"/>
      <c r="F70" s="59"/>
      <c r="G70" s="59"/>
      <c r="H70" s="59"/>
      <c r="I70" s="59"/>
      <c r="J70" s="59"/>
      <c r="K70" s="59"/>
      <c r="L70" s="59"/>
      <c r="M70" s="59"/>
      <c r="N70" s="59"/>
      <c r="O70" s="59"/>
      <c r="P70" s="59"/>
      <c r="Q70" s="59"/>
      <c r="R70" s="59"/>
      <c r="S70" s="59"/>
      <c r="T70" s="59"/>
      <c r="U70" s="59"/>
      <c r="V70" s="59"/>
    </row>
    <row r="71" spans="1:22" x14ac:dyDescent="0.2">
      <c r="A71" s="59"/>
      <c r="B71" s="59"/>
      <c r="C71" s="59"/>
      <c r="D71" s="59"/>
      <c r="E71" s="59"/>
      <c r="F71" s="59"/>
      <c r="G71" s="59"/>
      <c r="H71" s="59"/>
      <c r="I71" s="59"/>
      <c r="J71" s="59"/>
      <c r="K71" s="59"/>
      <c r="L71" s="59"/>
      <c r="M71" s="59"/>
      <c r="N71" s="59"/>
      <c r="O71" s="59"/>
      <c r="P71" s="59"/>
      <c r="Q71" s="59"/>
      <c r="R71" s="59"/>
      <c r="S71" s="59"/>
      <c r="T71" s="59"/>
      <c r="U71" s="59"/>
      <c r="V71" s="59"/>
    </row>
    <row r="72" spans="1:22" x14ac:dyDescent="0.2">
      <c r="A72" s="59"/>
      <c r="B72" s="59"/>
      <c r="C72" s="59"/>
      <c r="D72" s="59"/>
      <c r="E72" s="59"/>
      <c r="F72" s="59"/>
      <c r="G72" s="59"/>
      <c r="H72" s="59"/>
      <c r="I72" s="59"/>
      <c r="J72" s="59"/>
      <c r="K72" s="59"/>
      <c r="L72" s="59"/>
      <c r="M72" s="59"/>
      <c r="N72" s="59"/>
      <c r="O72" s="59"/>
      <c r="P72" s="59"/>
      <c r="Q72" s="59"/>
      <c r="R72" s="59"/>
      <c r="S72" s="59"/>
      <c r="T72" s="59"/>
      <c r="U72" s="59"/>
      <c r="V72" s="59"/>
    </row>
    <row r="73" spans="1:22" x14ac:dyDescent="0.2">
      <c r="A73" s="59"/>
      <c r="B73" s="59"/>
      <c r="C73" s="59"/>
      <c r="D73" s="59"/>
      <c r="E73" s="59"/>
      <c r="F73" s="59"/>
      <c r="G73" s="59"/>
      <c r="H73" s="59"/>
      <c r="I73" s="59"/>
      <c r="J73" s="59"/>
      <c r="K73" s="59"/>
      <c r="L73" s="59"/>
      <c r="M73" s="59"/>
      <c r="N73" s="59"/>
      <c r="O73" s="59"/>
      <c r="P73" s="59"/>
      <c r="Q73" s="59"/>
      <c r="R73" s="59"/>
      <c r="S73" s="59"/>
      <c r="T73" s="59"/>
      <c r="U73" s="59"/>
      <c r="V73" s="59"/>
    </row>
    <row r="74" spans="1:22" x14ac:dyDescent="0.2">
      <c r="A74" s="59"/>
      <c r="B74" s="59"/>
      <c r="C74" s="59"/>
      <c r="D74" s="59"/>
      <c r="E74" s="59"/>
      <c r="F74" s="59"/>
      <c r="G74" s="59"/>
      <c r="H74" s="59"/>
      <c r="I74" s="59"/>
      <c r="J74" s="59"/>
      <c r="K74" s="59"/>
      <c r="L74" s="59"/>
      <c r="M74" s="59"/>
      <c r="N74" s="59"/>
      <c r="O74" s="59"/>
      <c r="P74" s="59"/>
      <c r="Q74" s="59"/>
      <c r="R74" s="59"/>
      <c r="S74" s="59"/>
      <c r="T74" s="59"/>
      <c r="U74" s="59"/>
      <c r="V74" s="59"/>
    </row>
    <row r="75" spans="1:22" x14ac:dyDescent="0.2">
      <c r="A75" s="59"/>
      <c r="B75" s="59"/>
      <c r="C75" s="59"/>
      <c r="D75" s="59"/>
      <c r="E75" s="59"/>
      <c r="F75" s="59"/>
      <c r="G75" s="59"/>
      <c r="H75" s="59"/>
      <c r="I75" s="59"/>
      <c r="J75" s="59"/>
      <c r="K75" s="59"/>
      <c r="L75" s="59"/>
      <c r="M75" s="59"/>
      <c r="N75" s="59"/>
      <c r="O75" s="59"/>
      <c r="P75" s="59"/>
      <c r="Q75" s="59"/>
      <c r="R75" s="59"/>
      <c r="S75" s="59"/>
      <c r="T75" s="59"/>
      <c r="U75" s="59"/>
      <c r="V75" s="59"/>
    </row>
    <row r="76" spans="1:22" x14ac:dyDescent="0.2">
      <c r="A76" s="59"/>
      <c r="B76" s="59"/>
      <c r="C76" s="59"/>
      <c r="D76" s="59"/>
      <c r="E76" s="59"/>
      <c r="F76" s="59"/>
      <c r="G76" s="59"/>
      <c r="H76" s="59"/>
      <c r="I76" s="59"/>
      <c r="J76" s="59"/>
      <c r="K76" s="59"/>
      <c r="L76" s="59"/>
      <c r="M76" s="59"/>
      <c r="N76" s="59"/>
      <c r="O76" s="59"/>
      <c r="P76" s="59"/>
      <c r="Q76" s="59"/>
      <c r="R76" s="59"/>
      <c r="S76" s="59"/>
      <c r="T76" s="59"/>
      <c r="U76" s="59"/>
      <c r="V76" s="59"/>
    </row>
    <row r="77" spans="1:22" x14ac:dyDescent="0.2">
      <c r="A77" s="59"/>
      <c r="B77" s="59"/>
      <c r="C77" s="59"/>
      <c r="D77" s="59"/>
      <c r="E77" s="59"/>
      <c r="F77" s="59"/>
      <c r="G77" s="59"/>
      <c r="H77" s="59"/>
      <c r="I77" s="59"/>
      <c r="J77" s="59"/>
      <c r="K77" s="59"/>
      <c r="L77" s="59"/>
      <c r="M77" s="59"/>
      <c r="N77" s="59"/>
      <c r="O77" s="59"/>
      <c r="P77" s="59"/>
      <c r="Q77" s="59"/>
      <c r="R77" s="59"/>
      <c r="S77" s="59"/>
      <c r="T77" s="59"/>
      <c r="U77" s="59"/>
      <c r="V77" s="59"/>
    </row>
    <row r="78" spans="1:22" x14ac:dyDescent="0.2">
      <c r="A78" s="59"/>
      <c r="B78" s="59"/>
      <c r="C78" s="59"/>
      <c r="D78" s="59"/>
      <c r="E78" s="59"/>
      <c r="F78" s="59"/>
      <c r="G78" s="59"/>
      <c r="H78" s="59"/>
      <c r="I78" s="59"/>
      <c r="J78" s="59"/>
      <c r="K78" s="59"/>
      <c r="L78" s="59"/>
      <c r="M78" s="59"/>
      <c r="N78" s="59"/>
      <c r="O78" s="59"/>
      <c r="P78" s="59"/>
      <c r="Q78" s="59"/>
      <c r="R78" s="59"/>
      <c r="S78" s="59"/>
      <c r="T78" s="59"/>
      <c r="U78" s="59"/>
      <c r="V78" s="59"/>
    </row>
    <row r="79" spans="1:22" x14ac:dyDescent="0.2">
      <c r="A79" s="59"/>
      <c r="B79" s="59"/>
      <c r="C79" s="59"/>
      <c r="D79" s="59"/>
      <c r="E79" s="59"/>
      <c r="F79" s="59"/>
      <c r="G79" s="59"/>
      <c r="H79" s="59"/>
      <c r="I79" s="59"/>
      <c r="J79" s="59"/>
      <c r="K79" s="59"/>
      <c r="L79" s="59"/>
      <c r="M79" s="59"/>
      <c r="N79" s="59"/>
      <c r="O79" s="59"/>
      <c r="P79" s="59"/>
      <c r="Q79" s="59"/>
      <c r="R79" s="59"/>
      <c r="S79" s="59"/>
      <c r="T79" s="59"/>
      <c r="U79" s="59"/>
      <c r="V79" s="59"/>
    </row>
    <row r="80" spans="1:22" x14ac:dyDescent="0.2">
      <c r="A80" s="59"/>
      <c r="B80" s="59"/>
      <c r="C80" s="59"/>
      <c r="D80" s="59"/>
      <c r="E80" s="59"/>
      <c r="F80" s="59"/>
      <c r="G80" s="59"/>
      <c r="H80" s="59"/>
      <c r="I80" s="59"/>
      <c r="J80" s="59"/>
      <c r="K80" s="59"/>
      <c r="L80" s="59"/>
      <c r="M80" s="59"/>
      <c r="N80" s="59"/>
      <c r="O80" s="59"/>
      <c r="P80" s="59"/>
      <c r="Q80" s="59"/>
      <c r="R80" s="59"/>
      <c r="S80" s="59"/>
      <c r="T80" s="59"/>
      <c r="U80" s="59"/>
      <c r="V80" s="59"/>
    </row>
    <row r="81" spans="1:22" x14ac:dyDescent="0.2">
      <c r="A81" s="59"/>
      <c r="B81" s="59"/>
      <c r="C81" s="59"/>
      <c r="D81" s="59"/>
      <c r="E81" s="59"/>
      <c r="F81" s="59"/>
      <c r="G81" s="59"/>
      <c r="H81" s="59"/>
      <c r="I81" s="59"/>
      <c r="J81" s="59"/>
      <c r="K81" s="59"/>
      <c r="L81" s="59"/>
      <c r="M81" s="59"/>
      <c r="N81" s="59"/>
      <c r="O81" s="59"/>
      <c r="P81" s="59"/>
      <c r="Q81" s="59"/>
      <c r="R81" s="59"/>
      <c r="S81" s="59"/>
      <c r="T81" s="59"/>
      <c r="U81" s="59"/>
      <c r="V81" s="59"/>
    </row>
    <row r="82" spans="1:22" x14ac:dyDescent="0.2">
      <c r="A82" s="59"/>
      <c r="B82" s="59"/>
      <c r="C82" s="59"/>
      <c r="D82" s="59"/>
      <c r="E82" s="59"/>
      <c r="F82" s="59"/>
      <c r="G82" s="59"/>
      <c r="H82" s="59"/>
      <c r="I82" s="59"/>
      <c r="J82" s="59"/>
      <c r="K82" s="59"/>
      <c r="L82" s="59"/>
      <c r="M82" s="59"/>
      <c r="N82" s="59"/>
      <c r="O82" s="59"/>
      <c r="P82" s="59"/>
      <c r="Q82" s="59"/>
      <c r="R82" s="59"/>
      <c r="S82" s="59"/>
      <c r="T82" s="59"/>
      <c r="U82" s="59"/>
      <c r="V82" s="59"/>
    </row>
    <row r="83" spans="1:22" x14ac:dyDescent="0.2">
      <c r="A83" s="59"/>
      <c r="B83" s="59"/>
      <c r="C83" s="59"/>
      <c r="D83" s="59"/>
      <c r="E83" s="59"/>
      <c r="F83" s="59"/>
      <c r="G83" s="59"/>
      <c r="H83" s="59"/>
      <c r="I83" s="59"/>
      <c r="J83" s="59"/>
      <c r="K83" s="59"/>
      <c r="L83" s="59"/>
      <c r="M83" s="59"/>
      <c r="N83" s="59"/>
      <c r="O83" s="59"/>
      <c r="P83" s="59"/>
      <c r="Q83" s="59"/>
      <c r="R83" s="59"/>
      <c r="S83" s="59"/>
      <c r="T83" s="59"/>
      <c r="U83" s="59"/>
      <c r="V83" s="59"/>
    </row>
    <row r="84" spans="1:22" x14ac:dyDescent="0.2">
      <c r="A84" s="59"/>
      <c r="B84" s="59"/>
      <c r="C84" s="59"/>
      <c r="D84" s="59"/>
      <c r="E84" s="59"/>
      <c r="F84" s="59"/>
      <c r="G84" s="59"/>
      <c r="H84" s="59"/>
      <c r="I84" s="59"/>
      <c r="J84" s="59"/>
      <c r="K84" s="59"/>
      <c r="L84" s="59"/>
      <c r="M84" s="59"/>
      <c r="N84" s="59"/>
      <c r="O84" s="59"/>
      <c r="P84" s="59"/>
      <c r="Q84" s="59"/>
      <c r="R84" s="59"/>
      <c r="S84" s="59"/>
      <c r="T84" s="59"/>
      <c r="U84" s="59"/>
      <c r="V84" s="59"/>
    </row>
    <row r="85" spans="1:22" x14ac:dyDescent="0.2">
      <c r="A85" s="59"/>
      <c r="B85" s="59"/>
      <c r="C85" s="59"/>
      <c r="D85" s="59"/>
      <c r="E85" s="59"/>
      <c r="F85" s="59"/>
      <c r="G85" s="59"/>
      <c r="H85" s="59"/>
      <c r="I85" s="59"/>
      <c r="J85" s="59"/>
      <c r="K85" s="59"/>
      <c r="L85" s="59"/>
      <c r="M85" s="59"/>
      <c r="N85" s="59"/>
      <c r="O85" s="59"/>
      <c r="P85" s="59"/>
      <c r="Q85" s="59"/>
      <c r="R85" s="59"/>
      <c r="S85" s="59"/>
      <c r="T85" s="59"/>
      <c r="U85" s="59"/>
      <c r="V85" s="59"/>
    </row>
    <row r="86" spans="1:22" x14ac:dyDescent="0.2">
      <c r="A86" s="59"/>
      <c r="B86" s="59"/>
      <c r="C86" s="59"/>
      <c r="D86" s="59"/>
      <c r="E86" s="59"/>
      <c r="F86" s="59"/>
      <c r="G86" s="59"/>
      <c r="H86" s="59"/>
      <c r="I86" s="59"/>
      <c r="J86" s="59"/>
      <c r="K86" s="59"/>
      <c r="L86" s="59"/>
      <c r="M86" s="59"/>
      <c r="N86" s="59"/>
      <c r="O86" s="59"/>
      <c r="P86" s="59"/>
      <c r="Q86" s="59"/>
      <c r="R86" s="59"/>
      <c r="S86" s="59"/>
      <c r="T86" s="59"/>
      <c r="U86" s="59"/>
      <c r="V86" s="59"/>
    </row>
    <row r="87" spans="1:22" x14ac:dyDescent="0.2">
      <c r="A87" s="59"/>
      <c r="B87" s="59"/>
      <c r="C87" s="59"/>
      <c r="D87" s="59"/>
      <c r="E87" s="59"/>
      <c r="F87" s="59"/>
      <c r="G87" s="59"/>
      <c r="H87" s="59"/>
      <c r="I87" s="59"/>
      <c r="J87" s="59"/>
      <c r="K87" s="59"/>
      <c r="L87" s="59"/>
      <c r="M87" s="59"/>
      <c r="N87" s="59"/>
      <c r="O87" s="59"/>
      <c r="P87" s="59"/>
      <c r="Q87" s="59"/>
      <c r="R87" s="59"/>
      <c r="S87" s="59"/>
      <c r="T87" s="59"/>
      <c r="U87" s="59"/>
      <c r="V87" s="59"/>
    </row>
    <row r="88" spans="1:22" x14ac:dyDescent="0.2">
      <c r="A88" s="59"/>
      <c r="B88" s="59"/>
      <c r="C88" s="59"/>
      <c r="D88" s="59"/>
      <c r="E88" s="59"/>
      <c r="F88" s="59"/>
      <c r="G88" s="59"/>
      <c r="H88" s="59"/>
      <c r="I88" s="59"/>
      <c r="J88" s="59"/>
      <c r="K88" s="59"/>
      <c r="L88" s="59"/>
      <c r="M88" s="59"/>
      <c r="N88" s="59"/>
      <c r="O88" s="59"/>
      <c r="P88" s="59"/>
      <c r="Q88" s="59"/>
      <c r="R88" s="59"/>
      <c r="S88" s="59"/>
      <c r="T88" s="59"/>
      <c r="U88" s="59"/>
      <c r="V88" s="59"/>
    </row>
    <row r="89" spans="1:22" x14ac:dyDescent="0.2">
      <c r="A89" s="59"/>
      <c r="B89" s="59"/>
      <c r="C89" s="59"/>
      <c r="D89" s="59"/>
      <c r="E89" s="59"/>
      <c r="F89" s="59"/>
      <c r="G89" s="59"/>
      <c r="H89" s="59"/>
      <c r="I89" s="59"/>
      <c r="J89" s="59"/>
      <c r="K89" s="59"/>
      <c r="L89" s="59"/>
      <c r="M89" s="59"/>
      <c r="N89" s="59"/>
      <c r="O89" s="59"/>
      <c r="P89" s="59"/>
      <c r="Q89" s="59"/>
      <c r="R89" s="59"/>
      <c r="S89" s="59"/>
      <c r="T89" s="59"/>
      <c r="U89" s="59"/>
      <c r="V89" s="59"/>
    </row>
    <row r="90" spans="1:22" x14ac:dyDescent="0.2">
      <c r="A90" s="59"/>
      <c r="B90" s="59"/>
      <c r="C90" s="59"/>
      <c r="D90" s="59"/>
      <c r="E90" s="59"/>
      <c r="F90" s="59"/>
      <c r="G90" s="59"/>
      <c r="H90" s="59"/>
      <c r="I90" s="59"/>
      <c r="J90" s="59"/>
      <c r="K90" s="59"/>
      <c r="L90" s="59"/>
      <c r="M90" s="59"/>
      <c r="N90" s="59"/>
      <c r="O90" s="59"/>
      <c r="P90" s="59"/>
      <c r="Q90" s="59"/>
      <c r="R90" s="59"/>
      <c r="S90" s="59"/>
      <c r="T90" s="59"/>
      <c r="U90" s="59"/>
      <c r="V90" s="59"/>
    </row>
    <row r="91" spans="1:22" x14ac:dyDescent="0.2">
      <c r="A91" s="59"/>
      <c r="B91" s="59"/>
      <c r="C91" s="59"/>
      <c r="D91" s="59"/>
      <c r="E91" s="59"/>
      <c r="F91" s="59"/>
      <c r="G91" s="59"/>
      <c r="H91" s="59"/>
      <c r="I91" s="59"/>
      <c r="J91" s="59"/>
      <c r="K91" s="59"/>
      <c r="L91" s="59"/>
      <c r="M91" s="59"/>
      <c r="N91" s="59"/>
      <c r="O91" s="59"/>
      <c r="P91" s="59"/>
      <c r="Q91" s="59"/>
      <c r="R91" s="59"/>
      <c r="S91" s="59"/>
      <c r="T91" s="59"/>
      <c r="U91" s="59"/>
      <c r="V91" s="59"/>
    </row>
    <row r="92" spans="1:22" x14ac:dyDescent="0.2">
      <c r="A92" s="59"/>
      <c r="B92" s="59"/>
      <c r="C92" s="59"/>
      <c r="D92" s="59"/>
      <c r="E92" s="59"/>
      <c r="F92" s="59"/>
      <c r="G92" s="59"/>
      <c r="H92" s="59"/>
      <c r="I92" s="59"/>
      <c r="J92" s="59"/>
      <c r="K92" s="59"/>
      <c r="L92" s="59"/>
      <c r="M92" s="59"/>
      <c r="N92" s="59"/>
      <c r="O92" s="59"/>
      <c r="P92" s="59"/>
      <c r="Q92" s="59"/>
      <c r="R92" s="59"/>
      <c r="S92" s="59"/>
      <c r="T92" s="59"/>
      <c r="U92" s="59"/>
      <c r="V92" s="59"/>
    </row>
    <row r="93" spans="1:22" x14ac:dyDescent="0.2">
      <c r="A93" s="59"/>
      <c r="B93" s="59"/>
      <c r="C93" s="59"/>
      <c r="D93" s="59"/>
      <c r="E93" s="59"/>
      <c r="F93" s="59"/>
      <c r="G93" s="59"/>
      <c r="H93" s="59"/>
      <c r="I93" s="59"/>
      <c r="J93" s="59"/>
      <c r="K93" s="59"/>
      <c r="L93" s="59"/>
      <c r="M93" s="59"/>
      <c r="N93" s="59"/>
      <c r="O93" s="59"/>
      <c r="P93" s="59"/>
      <c r="Q93" s="59"/>
      <c r="R93" s="59"/>
      <c r="S93" s="59"/>
      <c r="T93" s="59"/>
      <c r="U93" s="59"/>
      <c r="V93" s="59"/>
    </row>
    <row r="94" spans="1:22" x14ac:dyDescent="0.2">
      <c r="A94" s="59"/>
      <c r="B94" s="59"/>
      <c r="C94" s="59"/>
      <c r="D94" s="59"/>
      <c r="E94" s="59"/>
      <c r="F94" s="59"/>
      <c r="G94" s="59"/>
      <c r="H94" s="59"/>
      <c r="I94" s="59"/>
      <c r="J94" s="59"/>
      <c r="K94" s="59"/>
      <c r="L94" s="59"/>
      <c r="M94" s="59"/>
      <c r="N94" s="59"/>
      <c r="O94" s="59"/>
      <c r="P94" s="59"/>
      <c r="Q94" s="59"/>
      <c r="R94" s="59"/>
      <c r="S94" s="59"/>
      <c r="T94" s="59"/>
      <c r="U94" s="59"/>
      <c r="V94" s="59"/>
    </row>
    <row r="95" spans="1:22" x14ac:dyDescent="0.2">
      <c r="A95" s="59"/>
      <c r="B95" s="59"/>
      <c r="C95" s="59"/>
      <c r="D95" s="59"/>
      <c r="E95" s="59"/>
      <c r="F95" s="59"/>
      <c r="G95" s="59"/>
      <c r="H95" s="59"/>
      <c r="I95" s="59"/>
      <c r="J95" s="59"/>
      <c r="K95" s="59"/>
      <c r="L95" s="59"/>
      <c r="M95" s="59"/>
      <c r="N95" s="59"/>
      <c r="O95" s="59"/>
      <c r="P95" s="59"/>
      <c r="Q95" s="59"/>
      <c r="R95" s="59"/>
      <c r="S95" s="59"/>
      <c r="T95" s="59"/>
      <c r="U95" s="59"/>
      <c r="V95" s="59"/>
    </row>
    <row r="96" spans="1:22" x14ac:dyDescent="0.2">
      <c r="A96" s="59"/>
      <c r="B96" s="59"/>
      <c r="C96" s="59"/>
      <c r="D96" s="59"/>
      <c r="E96" s="59"/>
      <c r="F96" s="59"/>
      <c r="G96" s="59"/>
      <c r="H96" s="59"/>
      <c r="I96" s="59"/>
      <c r="J96" s="59"/>
      <c r="K96" s="59"/>
      <c r="L96" s="59"/>
      <c r="M96" s="59"/>
      <c r="N96" s="59"/>
      <c r="O96" s="59"/>
      <c r="P96" s="59"/>
      <c r="Q96" s="59"/>
      <c r="R96" s="59"/>
      <c r="S96" s="59"/>
      <c r="T96" s="59"/>
      <c r="U96" s="59"/>
      <c r="V96" s="59"/>
    </row>
    <row r="97" spans="1:22" x14ac:dyDescent="0.2">
      <c r="A97" s="59"/>
      <c r="B97" s="59"/>
      <c r="C97" s="59"/>
      <c r="D97" s="59"/>
      <c r="E97" s="59"/>
      <c r="F97" s="59"/>
      <c r="G97" s="59"/>
      <c r="H97" s="59"/>
      <c r="I97" s="59"/>
      <c r="J97" s="59"/>
      <c r="K97" s="59"/>
      <c r="L97" s="59"/>
      <c r="M97" s="59"/>
      <c r="N97" s="59"/>
      <c r="O97" s="59"/>
      <c r="P97" s="59"/>
      <c r="Q97" s="59"/>
      <c r="R97" s="59"/>
      <c r="S97" s="59"/>
      <c r="T97" s="59"/>
      <c r="U97" s="59"/>
      <c r="V97" s="59"/>
    </row>
    <row r="98" spans="1:22" x14ac:dyDescent="0.2">
      <c r="A98" s="59"/>
      <c r="B98" s="59"/>
      <c r="C98" s="59"/>
      <c r="D98" s="59"/>
      <c r="E98" s="59"/>
      <c r="F98" s="59"/>
      <c r="G98" s="59"/>
      <c r="H98" s="59"/>
      <c r="I98" s="59"/>
      <c r="J98" s="59"/>
      <c r="K98" s="59"/>
      <c r="L98" s="59"/>
      <c r="M98" s="59"/>
      <c r="N98" s="59"/>
      <c r="O98" s="59"/>
      <c r="P98" s="59"/>
      <c r="Q98" s="59"/>
      <c r="R98" s="59"/>
      <c r="S98" s="59"/>
      <c r="T98" s="59"/>
      <c r="U98" s="59"/>
      <c r="V98" s="59"/>
    </row>
    <row r="99" spans="1:22" x14ac:dyDescent="0.2">
      <c r="A99" s="59"/>
      <c r="B99" s="59"/>
      <c r="C99" s="59"/>
      <c r="D99" s="59"/>
      <c r="E99" s="59"/>
      <c r="F99" s="59"/>
      <c r="G99" s="59"/>
      <c r="H99" s="59"/>
      <c r="I99" s="59"/>
      <c r="J99" s="59"/>
      <c r="K99" s="59"/>
      <c r="L99" s="59"/>
      <c r="M99" s="59"/>
      <c r="N99" s="59"/>
      <c r="O99" s="59"/>
      <c r="P99" s="59"/>
      <c r="Q99" s="59"/>
      <c r="R99" s="59"/>
      <c r="S99" s="59"/>
      <c r="T99" s="59"/>
      <c r="U99" s="59"/>
      <c r="V99" s="59"/>
    </row>
    <row r="100" spans="1:22" x14ac:dyDescent="0.2">
      <c r="A100" s="59"/>
      <c r="B100" s="59"/>
      <c r="C100" s="59"/>
      <c r="D100" s="59"/>
      <c r="E100" s="59"/>
      <c r="F100" s="59"/>
      <c r="G100" s="59"/>
      <c r="H100" s="59"/>
      <c r="I100" s="59"/>
      <c r="J100" s="59"/>
      <c r="K100" s="59"/>
      <c r="L100" s="59"/>
      <c r="M100" s="59"/>
      <c r="N100" s="59"/>
      <c r="O100" s="59"/>
      <c r="P100" s="59"/>
      <c r="Q100" s="59"/>
      <c r="R100" s="59"/>
      <c r="S100" s="59"/>
      <c r="T100" s="59"/>
      <c r="U100" s="59"/>
      <c r="V100" s="59"/>
    </row>
  </sheetData>
  <sheetProtection algorithmName="SHA-512" hashValue="ubknQxw5zdDBUy8NsTbXUMpgX6yiSFrO6r8HKr4r/tQmZRlE+Vg7Ytv4IFmp4QxnTJSrqOfPOdU05XNx6SrqJw==" saltValue="djD0bYZ2qGZAbqi7qiWh/Q==" spinCount="100000" sheet="1" objects="1" scenarios="1"/>
  <protectedRanges>
    <protectedRange sqref="A8:F27" name="Bereich1"/>
  </protectedRanges>
  <customSheetViews>
    <customSheetView guid="{8595FB22-684A-40C6-BCB3-CF11C69F4546}" showRuler="0">
      <selection activeCell="A8" activeCellId="1" sqref="A8:C8 A8:F27"/>
      <pageMargins left="0" right="0" top="0" bottom="0" header="0" footer="0"/>
      <pageSetup paperSize="9" scale="82" orientation="landscape" r:id="rId1"/>
      <headerFooter alignWithMargins="0"/>
    </customSheetView>
  </customSheetViews>
  <mergeCells count="35">
    <mergeCell ref="M8:M12"/>
    <mergeCell ref="I13:J13"/>
    <mergeCell ref="K8:K12"/>
    <mergeCell ref="A24:C24"/>
    <mergeCell ref="A18:C18"/>
    <mergeCell ref="A19:C19"/>
    <mergeCell ref="A13:C13"/>
    <mergeCell ref="A14:C14"/>
    <mergeCell ref="A15:C15"/>
    <mergeCell ref="L8:L12"/>
    <mergeCell ref="I8:J12"/>
    <mergeCell ref="A16:C16"/>
    <mergeCell ref="A17:C17"/>
    <mergeCell ref="G28:G29"/>
    <mergeCell ref="D3:D7"/>
    <mergeCell ref="E3:E7"/>
    <mergeCell ref="F3:F7"/>
    <mergeCell ref="G3:G7"/>
    <mergeCell ref="A28:D29"/>
    <mergeCell ref="E28:F29"/>
    <mergeCell ref="A10:C10"/>
    <mergeCell ref="A11:C11"/>
    <mergeCell ref="A12:C12"/>
    <mergeCell ref="A25:C25"/>
    <mergeCell ref="A27:C27"/>
    <mergeCell ref="A20:C20"/>
    <mergeCell ref="A21:C21"/>
    <mergeCell ref="A22:C22"/>
    <mergeCell ref="A23:C23"/>
    <mergeCell ref="A1:G1"/>
    <mergeCell ref="A8:C8"/>
    <mergeCell ref="A9:C9"/>
    <mergeCell ref="A3:A7"/>
    <mergeCell ref="B3:C7"/>
    <mergeCell ref="A2:G2"/>
  </mergeCells>
  <phoneticPr fontId="3" type="noConversion"/>
  <pageMargins left="0.39370078740157483" right="0.39370078740157483" top="0.78740157480314965" bottom="0.39370078740157483" header="0.51181102362204722" footer="0.11811023622047245"/>
  <pageSetup paperSize="9" orientation="portrait" r:id="rId2"/>
  <headerFooter alignWithMargins="0">
    <oddFooter>&amp;C&amp;"Arial,Fett"Stand: April 2025</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5">
    <tabColor indexed="22"/>
    <pageSetUpPr fitToPage="1"/>
  </sheetPr>
  <dimension ref="A1:V103"/>
  <sheetViews>
    <sheetView zoomScaleNormal="100" workbookViewId="0">
      <selection activeCell="O39" sqref="O39"/>
    </sheetView>
  </sheetViews>
  <sheetFormatPr baseColWidth="10" defaultColWidth="11.42578125" defaultRowHeight="12.75" x14ac:dyDescent="0.2"/>
  <cols>
    <col min="1" max="5" width="11.42578125" style="12"/>
    <col min="6" max="6" width="15.28515625" style="12" customWidth="1"/>
    <col min="7" max="9" width="11.42578125" style="12"/>
    <col min="10" max="10" width="21.42578125" style="12" customWidth="1"/>
    <col min="11" max="12" width="11.42578125" style="12"/>
    <col min="13" max="13" width="12.7109375" style="12" customWidth="1"/>
    <col min="14" max="16384" width="11.42578125" style="12"/>
  </cols>
  <sheetData>
    <row r="1" spans="1:22" ht="16.5" thickBot="1" x14ac:dyDescent="0.3">
      <c r="A1" s="862" t="s">
        <v>11</v>
      </c>
      <c r="B1" s="863"/>
      <c r="C1" s="863"/>
      <c r="D1" s="863"/>
      <c r="E1" s="863"/>
      <c r="F1" s="864"/>
      <c r="G1" s="59"/>
      <c r="H1" s="319" t="s">
        <v>237</v>
      </c>
      <c r="I1" s="59"/>
      <c r="J1" s="59"/>
      <c r="K1" s="59"/>
      <c r="L1" s="59"/>
      <c r="M1" s="59"/>
      <c r="N1" s="59"/>
      <c r="O1" s="59"/>
      <c r="P1" s="59"/>
      <c r="Q1" s="59"/>
      <c r="R1" s="59"/>
      <c r="S1" s="59"/>
      <c r="T1" s="59"/>
      <c r="U1" s="59"/>
      <c r="V1" s="59"/>
    </row>
    <row r="2" spans="1:22" ht="13.5" thickBot="1" x14ac:dyDescent="0.25">
      <c r="A2" s="692" t="s">
        <v>216</v>
      </c>
      <c r="B2" s="693"/>
      <c r="C2" s="693"/>
      <c r="D2" s="729"/>
      <c r="E2" s="729"/>
      <c r="F2" s="704"/>
      <c r="G2" s="59"/>
      <c r="H2" s="59"/>
      <c r="I2" s="59"/>
      <c r="J2" s="59"/>
      <c r="K2" s="59"/>
      <c r="L2" s="59"/>
      <c r="M2" s="59"/>
      <c r="N2" s="59"/>
      <c r="O2" s="59"/>
      <c r="P2" s="59"/>
      <c r="Q2" s="59"/>
      <c r="R2" s="59"/>
      <c r="S2" s="59"/>
      <c r="T2" s="59"/>
      <c r="U2" s="59"/>
      <c r="V2" s="59"/>
    </row>
    <row r="3" spans="1:22" x14ac:dyDescent="0.2">
      <c r="A3" s="813" t="s">
        <v>374</v>
      </c>
      <c r="B3" s="814"/>
      <c r="C3" s="814"/>
      <c r="D3" s="814"/>
      <c r="E3" s="815"/>
      <c r="F3" s="819" t="s">
        <v>375</v>
      </c>
      <c r="G3" s="59"/>
      <c r="H3" s="808" t="s">
        <v>376</v>
      </c>
      <c r="I3" s="809"/>
      <c r="J3" s="809"/>
      <c r="K3" s="809"/>
      <c r="L3" s="809"/>
      <c r="M3" s="809"/>
      <c r="N3" s="59"/>
      <c r="O3" s="59"/>
      <c r="P3" s="59"/>
      <c r="Q3" s="59"/>
      <c r="R3" s="59"/>
      <c r="S3" s="59"/>
      <c r="T3" s="59"/>
      <c r="U3" s="59"/>
      <c r="V3" s="59"/>
    </row>
    <row r="4" spans="1:22" ht="13.5" thickBot="1" x14ac:dyDescent="0.25">
      <c r="A4" s="816"/>
      <c r="B4" s="817"/>
      <c r="C4" s="817"/>
      <c r="D4" s="817"/>
      <c r="E4" s="818"/>
      <c r="F4" s="820"/>
      <c r="G4" s="59"/>
      <c r="H4" s="810" t="s">
        <v>377</v>
      </c>
      <c r="I4" s="811"/>
      <c r="J4" s="811"/>
      <c r="K4" s="811"/>
      <c r="L4" s="811"/>
      <c r="M4" s="767" t="s">
        <v>378</v>
      </c>
      <c r="N4" s="59"/>
      <c r="O4" s="59"/>
      <c r="P4" s="59"/>
      <c r="Q4" s="59"/>
      <c r="R4" s="59"/>
      <c r="S4" s="59"/>
      <c r="T4" s="59"/>
      <c r="U4" s="59"/>
      <c r="V4" s="59"/>
    </row>
    <row r="5" spans="1:22" ht="13.5" customHeight="1" thickBot="1" x14ac:dyDescent="0.25">
      <c r="A5" s="821" t="s">
        <v>379</v>
      </c>
      <c r="B5" s="724"/>
      <c r="C5" s="724"/>
      <c r="D5" s="724"/>
      <c r="E5" s="725"/>
      <c r="F5" s="17">
        <v>0</v>
      </c>
      <c r="G5" s="59"/>
      <c r="H5" s="811"/>
      <c r="I5" s="811"/>
      <c r="J5" s="811"/>
      <c r="K5" s="811"/>
      <c r="L5" s="811"/>
      <c r="M5" s="767"/>
      <c r="N5" s="59"/>
      <c r="O5" s="59"/>
      <c r="P5" s="59"/>
      <c r="Q5" s="59"/>
      <c r="R5" s="59"/>
      <c r="S5" s="59"/>
      <c r="T5" s="59"/>
      <c r="U5" s="59"/>
      <c r="V5" s="59"/>
    </row>
    <row r="6" spans="1:22" ht="13.5" thickBot="1" x14ac:dyDescent="0.25">
      <c r="A6" s="723" t="s">
        <v>380</v>
      </c>
      <c r="B6" s="724"/>
      <c r="C6" s="724"/>
      <c r="D6" s="724"/>
      <c r="E6" s="725"/>
      <c r="F6" s="17">
        <v>0</v>
      </c>
      <c r="G6" s="59"/>
      <c r="H6" s="812" t="s">
        <v>381</v>
      </c>
      <c r="I6" s="812"/>
      <c r="J6" s="812"/>
      <c r="K6" s="812"/>
      <c r="L6" s="812"/>
      <c r="M6" s="131">
        <v>150</v>
      </c>
      <c r="N6" s="59"/>
      <c r="O6" s="59"/>
      <c r="P6" s="59"/>
      <c r="Q6" s="59"/>
      <c r="R6" s="59"/>
      <c r="S6" s="59"/>
      <c r="T6" s="59"/>
      <c r="U6" s="59"/>
      <c r="V6" s="59"/>
    </row>
    <row r="7" spans="1:22" ht="13.5" thickBot="1" x14ac:dyDescent="0.25">
      <c r="A7" s="723" t="s">
        <v>382</v>
      </c>
      <c r="B7" s="724"/>
      <c r="C7" s="724"/>
      <c r="D7" s="724"/>
      <c r="E7" s="725"/>
      <c r="F7" s="17">
        <v>0</v>
      </c>
      <c r="G7" s="59"/>
      <c r="H7" s="59"/>
      <c r="I7" s="59"/>
      <c r="J7" s="59"/>
      <c r="K7" s="59"/>
      <c r="L7" s="59"/>
      <c r="M7" s="59"/>
      <c r="N7" s="59"/>
      <c r="O7" s="59"/>
      <c r="P7" s="59"/>
      <c r="Q7" s="59"/>
      <c r="R7" s="59"/>
      <c r="S7" s="59"/>
      <c r="T7" s="59"/>
      <c r="U7" s="59"/>
      <c r="V7" s="59"/>
    </row>
    <row r="8" spans="1:22" ht="13.5" thickBot="1" x14ac:dyDescent="0.25">
      <c r="A8" s="723" t="s">
        <v>383</v>
      </c>
      <c r="B8" s="724"/>
      <c r="C8" s="724"/>
      <c r="D8" s="724"/>
      <c r="E8" s="725"/>
      <c r="F8" s="17">
        <v>0</v>
      </c>
      <c r="G8" s="59"/>
      <c r="H8" s="59"/>
      <c r="I8" s="59"/>
      <c r="J8" s="59"/>
      <c r="K8" s="59"/>
      <c r="L8" s="59"/>
      <c r="M8" s="59"/>
      <c r="N8" s="59"/>
      <c r="O8" s="59"/>
      <c r="P8" s="59"/>
      <c r="Q8" s="59"/>
      <c r="R8" s="59"/>
      <c r="S8" s="59"/>
      <c r="T8" s="59"/>
      <c r="U8" s="59"/>
      <c r="V8" s="59"/>
    </row>
    <row r="9" spans="1:22" ht="13.5" thickBot="1" x14ac:dyDescent="0.25">
      <c r="A9" s="723" t="s">
        <v>384</v>
      </c>
      <c r="B9" s="724"/>
      <c r="C9" s="724"/>
      <c r="D9" s="724"/>
      <c r="E9" s="725"/>
      <c r="F9" s="17">
        <v>0</v>
      </c>
      <c r="G9" s="59"/>
      <c r="H9" s="59"/>
      <c r="I9" s="59"/>
      <c r="J9" s="59"/>
      <c r="K9" s="59"/>
      <c r="L9" s="59"/>
      <c r="M9" s="59"/>
      <c r="N9" s="59"/>
      <c r="O9" s="59"/>
      <c r="P9" s="59"/>
      <c r="Q9" s="59"/>
      <c r="R9" s="59"/>
      <c r="S9" s="59"/>
      <c r="T9" s="59"/>
      <c r="U9" s="59"/>
      <c r="V9" s="59"/>
    </row>
    <row r="10" spans="1:22" ht="13.5" thickBot="1" x14ac:dyDescent="0.25">
      <c r="A10" s="723" t="s">
        <v>385</v>
      </c>
      <c r="B10" s="724"/>
      <c r="C10" s="724"/>
      <c r="D10" s="724"/>
      <c r="E10" s="725"/>
      <c r="F10" s="17">
        <v>0</v>
      </c>
      <c r="G10" s="59"/>
      <c r="H10" s="72" t="s">
        <v>386</v>
      </c>
      <c r="I10" s="59"/>
      <c r="J10" s="59"/>
      <c r="K10" s="59"/>
      <c r="L10" s="59"/>
      <c r="M10" s="59"/>
      <c r="N10" s="59"/>
      <c r="O10" s="59"/>
      <c r="P10" s="59"/>
      <c r="Q10" s="59"/>
      <c r="R10" s="59"/>
      <c r="S10" s="59"/>
      <c r="T10" s="59"/>
      <c r="U10" s="59"/>
      <c r="V10" s="59"/>
    </row>
    <row r="11" spans="1:22" ht="13.5" thickBot="1" x14ac:dyDescent="0.25">
      <c r="A11" s="723" t="s">
        <v>387</v>
      </c>
      <c r="B11" s="724"/>
      <c r="C11" s="724"/>
      <c r="D11" s="724"/>
      <c r="E11" s="725"/>
      <c r="F11" s="17">
        <v>0</v>
      </c>
      <c r="G11" s="59"/>
      <c r="H11" s="822" t="s">
        <v>388</v>
      </c>
      <c r="I11" s="823"/>
      <c r="J11" s="824"/>
      <c r="K11" s="767" t="s">
        <v>389</v>
      </c>
      <c r="L11" s="807" t="s">
        <v>390</v>
      </c>
      <c r="M11" s="807" t="s">
        <v>391</v>
      </c>
      <c r="N11" s="59"/>
      <c r="O11" s="59"/>
      <c r="P11" s="59"/>
      <c r="Q11" s="59"/>
      <c r="R11" s="59"/>
      <c r="S11" s="59"/>
      <c r="T11" s="59"/>
      <c r="U11" s="59"/>
      <c r="V11" s="59"/>
    </row>
    <row r="12" spans="1:22" ht="13.5" thickBot="1" x14ac:dyDescent="0.25">
      <c r="A12" s="723" t="s">
        <v>392</v>
      </c>
      <c r="B12" s="724"/>
      <c r="C12" s="724"/>
      <c r="D12" s="724"/>
      <c r="E12" s="725"/>
      <c r="F12" s="17">
        <v>0</v>
      </c>
      <c r="G12" s="59"/>
      <c r="H12" s="805"/>
      <c r="I12" s="825"/>
      <c r="J12" s="826"/>
      <c r="K12" s="767"/>
      <c r="L12" s="807"/>
      <c r="M12" s="807"/>
      <c r="N12" s="59"/>
      <c r="O12" s="59"/>
      <c r="P12" s="59"/>
      <c r="Q12" s="59"/>
      <c r="R12" s="59"/>
      <c r="S12" s="59"/>
      <c r="T12" s="59"/>
      <c r="U12" s="59"/>
      <c r="V12" s="59"/>
    </row>
    <row r="13" spans="1:22" ht="13.5" thickBot="1" x14ac:dyDescent="0.25">
      <c r="A13" s="723" t="s">
        <v>393</v>
      </c>
      <c r="B13" s="724"/>
      <c r="C13" s="724"/>
      <c r="D13" s="724"/>
      <c r="E13" s="725"/>
      <c r="F13" s="17">
        <v>0</v>
      </c>
      <c r="G13" s="59"/>
      <c r="H13" s="851" t="s">
        <v>394</v>
      </c>
      <c r="I13" s="852"/>
      <c r="J13" s="852"/>
      <c r="K13" s="85">
        <v>85</v>
      </c>
      <c r="L13" s="85">
        <v>4</v>
      </c>
      <c r="M13" s="131">
        <f>L13*K13</f>
        <v>340</v>
      </c>
      <c r="N13" s="59"/>
      <c r="O13" s="59"/>
      <c r="P13" s="59"/>
      <c r="Q13" s="59"/>
      <c r="R13" s="59"/>
      <c r="S13" s="59"/>
      <c r="T13" s="59"/>
      <c r="U13" s="59"/>
      <c r="V13" s="59"/>
    </row>
    <row r="14" spans="1:22" ht="13.5" thickBot="1" x14ac:dyDescent="0.25">
      <c r="A14" s="723" t="s">
        <v>395</v>
      </c>
      <c r="B14" s="724"/>
      <c r="C14" s="724"/>
      <c r="D14" s="724"/>
      <c r="E14" s="725"/>
      <c r="F14" s="17">
        <v>0</v>
      </c>
      <c r="G14" s="59"/>
      <c r="H14" s="59"/>
      <c r="I14" s="59"/>
      <c r="J14" s="59"/>
      <c r="K14" s="59"/>
      <c r="L14" s="59"/>
      <c r="M14" s="59"/>
      <c r="N14" s="59"/>
      <c r="O14" s="59"/>
      <c r="P14" s="59"/>
      <c r="Q14" s="59"/>
      <c r="R14" s="59"/>
      <c r="S14" s="59"/>
      <c r="T14" s="59"/>
      <c r="U14" s="59"/>
      <c r="V14" s="59"/>
    </row>
    <row r="15" spans="1:22" ht="13.5" thickBot="1" x14ac:dyDescent="0.25">
      <c r="A15" s="723" t="s">
        <v>396</v>
      </c>
      <c r="B15" s="724"/>
      <c r="C15" s="724"/>
      <c r="D15" s="724"/>
      <c r="E15" s="725"/>
      <c r="F15" s="17">
        <v>0</v>
      </c>
      <c r="G15" s="59"/>
      <c r="H15" s="59"/>
      <c r="I15" s="59"/>
      <c r="J15" s="59"/>
      <c r="K15" s="59"/>
      <c r="L15" s="59"/>
      <c r="M15" s="59"/>
      <c r="N15" s="59"/>
      <c r="O15" s="59"/>
      <c r="P15" s="59"/>
      <c r="Q15" s="59"/>
      <c r="R15" s="59"/>
      <c r="S15" s="59"/>
      <c r="T15" s="59"/>
      <c r="U15" s="59"/>
      <c r="V15" s="59"/>
    </row>
    <row r="16" spans="1:22" ht="13.5" customHeight="1" thickBot="1" x14ac:dyDescent="0.25">
      <c r="A16" s="723" t="s">
        <v>397</v>
      </c>
      <c r="B16" s="724"/>
      <c r="C16" s="724"/>
      <c r="D16" s="724"/>
      <c r="E16" s="725"/>
      <c r="F16" s="17">
        <v>0</v>
      </c>
      <c r="G16" s="59"/>
      <c r="H16" s="853" t="s">
        <v>462</v>
      </c>
      <c r="I16" s="854"/>
      <c r="J16" s="854"/>
      <c r="K16" s="855"/>
      <c r="L16" s="124"/>
      <c r="M16" s="124"/>
      <c r="N16" s="59"/>
      <c r="O16" s="59"/>
      <c r="P16" s="59"/>
      <c r="Q16" s="59"/>
      <c r="R16" s="59"/>
      <c r="S16" s="59"/>
      <c r="T16" s="59"/>
      <c r="U16" s="59"/>
      <c r="V16" s="59"/>
    </row>
    <row r="17" spans="1:22" ht="13.5" thickBot="1" x14ac:dyDescent="0.25">
      <c r="A17" s="723" t="s">
        <v>398</v>
      </c>
      <c r="B17" s="724"/>
      <c r="C17" s="724"/>
      <c r="D17" s="724"/>
      <c r="E17" s="725"/>
      <c r="F17" s="17">
        <v>0</v>
      </c>
      <c r="G17" s="59"/>
      <c r="H17" s="856"/>
      <c r="I17" s="857"/>
      <c r="J17" s="857"/>
      <c r="K17" s="858"/>
      <c r="L17" s="124"/>
      <c r="M17" s="124"/>
      <c r="N17" s="59"/>
      <c r="O17" s="59"/>
      <c r="P17" s="59"/>
      <c r="Q17" s="59"/>
      <c r="R17" s="59"/>
      <c r="S17" s="59"/>
      <c r="T17" s="59"/>
      <c r="U17" s="59"/>
      <c r="V17" s="59"/>
    </row>
    <row r="18" spans="1:22" ht="13.5" thickBot="1" x14ac:dyDescent="0.25">
      <c r="A18" s="723" t="s">
        <v>399</v>
      </c>
      <c r="B18" s="724"/>
      <c r="C18" s="724"/>
      <c r="D18" s="724"/>
      <c r="E18" s="725"/>
      <c r="F18" s="17">
        <v>0</v>
      </c>
      <c r="G18" s="59"/>
      <c r="H18" s="856"/>
      <c r="I18" s="857"/>
      <c r="J18" s="857"/>
      <c r="K18" s="858"/>
      <c r="L18" s="124"/>
      <c r="M18" s="124"/>
      <c r="N18" s="59"/>
      <c r="O18" s="59"/>
      <c r="P18" s="59"/>
      <c r="Q18" s="59"/>
      <c r="R18" s="59"/>
      <c r="S18" s="59"/>
      <c r="T18" s="59"/>
      <c r="U18" s="59"/>
      <c r="V18" s="59"/>
    </row>
    <row r="19" spans="1:22" ht="13.5" thickBot="1" x14ac:dyDescent="0.25">
      <c r="A19" s="723" t="s">
        <v>400</v>
      </c>
      <c r="B19" s="724"/>
      <c r="C19" s="724"/>
      <c r="D19" s="724"/>
      <c r="E19" s="725"/>
      <c r="F19" s="17">
        <v>0</v>
      </c>
      <c r="G19" s="59"/>
      <c r="H19" s="856"/>
      <c r="I19" s="857"/>
      <c r="J19" s="857"/>
      <c r="K19" s="858"/>
      <c r="L19" s="59"/>
      <c r="M19" s="59"/>
      <c r="N19" s="59"/>
      <c r="O19" s="59"/>
      <c r="P19" s="59"/>
      <c r="Q19" s="59"/>
      <c r="R19" s="59"/>
      <c r="S19" s="59"/>
      <c r="T19" s="59"/>
      <c r="U19" s="59"/>
      <c r="V19" s="59"/>
    </row>
    <row r="20" spans="1:22" x14ac:dyDescent="0.2">
      <c r="A20" s="838" t="s">
        <v>401</v>
      </c>
      <c r="B20" s="839"/>
      <c r="C20" s="839"/>
      <c r="D20" s="839"/>
      <c r="E20" s="840"/>
      <c r="F20" s="833">
        <f>SUM(F5:F19)</f>
        <v>0</v>
      </c>
      <c r="G20" s="59"/>
      <c r="H20" s="856"/>
      <c r="I20" s="857"/>
      <c r="J20" s="857"/>
      <c r="K20" s="858"/>
      <c r="L20" s="59"/>
      <c r="M20" s="59"/>
      <c r="N20" s="59"/>
      <c r="O20" s="59"/>
      <c r="P20" s="59"/>
      <c r="Q20" s="59"/>
      <c r="R20" s="59"/>
      <c r="S20" s="59"/>
      <c r="T20" s="59"/>
      <c r="U20" s="59"/>
      <c r="V20" s="59"/>
    </row>
    <row r="21" spans="1:22" ht="13.5" thickBot="1" x14ac:dyDescent="0.25">
      <c r="A21" s="841"/>
      <c r="B21" s="842"/>
      <c r="C21" s="842"/>
      <c r="D21" s="842"/>
      <c r="E21" s="843"/>
      <c r="F21" s="834"/>
      <c r="G21" s="59"/>
      <c r="H21" s="859"/>
      <c r="I21" s="860"/>
      <c r="J21" s="860"/>
      <c r="K21" s="861"/>
      <c r="L21" s="59"/>
      <c r="M21" s="59"/>
      <c r="N21" s="59"/>
      <c r="O21" s="59"/>
      <c r="P21" s="59"/>
      <c r="Q21" s="59"/>
      <c r="R21" s="59"/>
      <c r="S21" s="59"/>
      <c r="T21" s="59"/>
      <c r="U21" s="59"/>
      <c r="V21" s="59"/>
    </row>
    <row r="22" spans="1:22" ht="16.5" thickBot="1" x14ac:dyDescent="0.25">
      <c r="A22" s="261"/>
      <c r="B22" s="261"/>
      <c r="C22" s="261"/>
      <c r="D22" s="261"/>
      <c r="E22" s="261"/>
      <c r="F22" s="262"/>
      <c r="G22" s="59"/>
      <c r="H22" s="263"/>
      <c r="I22" s="263"/>
      <c r="J22" s="263"/>
      <c r="K22" s="263"/>
      <c r="L22" s="59"/>
      <c r="M22" s="59"/>
      <c r="N22" s="59"/>
      <c r="O22" s="59"/>
      <c r="P22" s="59"/>
      <c r="Q22" s="59"/>
      <c r="R22" s="59"/>
      <c r="S22" s="59"/>
      <c r="T22" s="59"/>
      <c r="U22" s="59"/>
      <c r="V22" s="59"/>
    </row>
    <row r="23" spans="1:22" ht="35.25" customHeight="1" thickBot="1" x14ac:dyDescent="0.25">
      <c r="A23" s="871" t="s">
        <v>381</v>
      </c>
      <c r="B23" s="872"/>
      <c r="C23" s="872"/>
      <c r="D23" s="872"/>
      <c r="E23" s="873"/>
      <c r="F23" s="266">
        <v>0</v>
      </c>
      <c r="G23" s="59"/>
      <c r="H23" s="263"/>
      <c r="I23" s="263"/>
      <c r="J23" s="263"/>
      <c r="K23" s="263"/>
      <c r="L23" s="59"/>
      <c r="M23" s="59"/>
      <c r="N23" s="59"/>
      <c r="O23" s="59"/>
      <c r="P23" s="59"/>
      <c r="Q23" s="59"/>
      <c r="R23" s="59"/>
      <c r="S23" s="59"/>
      <c r="T23" s="59"/>
      <c r="U23" s="59"/>
      <c r="V23" s="59"/>
    </row>
    <row r="24" spans="1:22" ht="15.75" customHeight="1" x14ac:dyDescent="0.2">
      <c r="A24" s="264"/>
      <c r="B24" s="264"/>
      <c r="C24" s="264"/>
      <c r="D24" s="264"/>
      <c r="E24" s="264"/>
      <c r="F24" s="265"/>
      <c r="G24" s="59"/>
      <c r="H24" s="263"/>
      <c r="I24" s="263"/>
      <c r="J24" s="263"/>
      <c r="K24" s="263"/>
      <c r="L24" s="59"/>
      <c r="M24" s="59"/>
      <c r="N24" s="59"/>
      <c r="O24" s="59"/>
      <c r="P24" s="59"/>
      <c r="Q24" s="59"/>
      <c r="R24" s="59"/>
      <c r="S24" s="59"/>
      <c r="T24" s="59"/>
      <c r="U24" s="59"/>
      <c r="V24" s="59"/>
    </row>
    <row r="25" spans="1:22" ht="13.5" thickBot="1" x14ac:dyDescent="0.25">
      <c r="A25" s="59"/>
      <c r="B25" s="59"/>
      <c r="C25" s="59"/>
      <c r="D25" s="59"/>
      <c r="E25" s="59"/>
      <c r="F25" s="59"/>
      <c r="G25" s="59"/>
      <c r="H25" s="59"/>
      <c r="I25" s="59"/>
      <c r="J25" s="59"/>
      <c r="K25" s="59"/>
      <c r="L25" s="59"/>
      <c r="M25" s="59"/>
      <c r="N25" s="59"/>
      <c r="O25" s="59"/>
      <c r="P25" s="59"/>
      <c r="Q25" s="59"/>
      <c r="R25" s="59"/>
      <c r="S25" s="59"/>
      <c r="T25" s="59"/>
      <c r="U25" s="59"/>
      <c r="V25" s="59"/>
    </row>
    <row r="26" spans="1:22" ht="13.5" thickBot="1" x14ac:dyDescent="0.25">
      <c r="A26" s="692" t="s">
        <v>216</v>
      </c>
      <c r="B26" s="693"/>
      <c r="C26" s="693"/>
      <c r="D26" s="729"/>
      <c r="E26" s="729"/>
      <c r="F26" s="704"/>
      <c r="G26" s="59"/>
      <c r="H26" s="59"/>
      <c r="I26" s="59"/>
      <c r="J26" s="59"/>
      <c r="K26" s="59"/>
      <c r="L26" s="59"/>
      <c r="M26" s="59"/>
      <c r="N26" s="59"/>
      <c r="O26" s="59"/>
      <c r="P26" s="59"/>
      <c r="Q26" s="59"/>
      <c r="R26" s="59"/>
      <c r="S26" s="59"/>
      <c r="T26" s="59"/>
      <c r="U26" s="59"/>
      <c r="V26" s="59"/>
    </row>
    <row r="27" spans="1:22" x14ac:dyDescent="0.2">
      <c r="A27" s="865" t="s">
        <v>402</v>
      </c>
      <c r="B27" s="866"/>
      <c r="C27" s="472" t="s">
        <v>403</v>
      </c>
      <c r="D27" s="473"/>
      <c r="E27" s="473"/>
      <c r="F27" s="474"/>
      <c r="G27" s="59"/>
      <c r="H27" s="59"/>
      <c r="I27" s="59"/>
      <c r="J27" s="59"/>
      <c r="K27" s="59"/>
      <c r="L27" s="59"/>
      <c r="M27" s="59"/>
      <c r="N27" s="59"/>
      <c r="O27" s="59"/>
      <c r="P27" s="59"/>
      <c r="Q27" s="59"/>
      <c r="R27" s="59"/>
      <c r="S27" s="59"/>
      <c r="T27" s="59"/>
      <c r="U27" s="59"/>
      <c r="V27" s="59"/>
    </row>
    <row r="28" spans="1:22" x14ac:dyDescent="0.2">
      <c r="A28" s="867"/>
      <c r="B28" s="868"/>
      <c r="C28" s="475" t="s">
        <v>404</v>
      </c>
      <c r="D28" s="476"/>
      <c r="E28" s="476"/>
      <c r="F28" s="477"/>
      <c r="G28" s="59"/>
      <c r="H28" s="59"/>
      <c r="I28" s="59"/>
      <c r="J28" s="59"/>
      <c r="K28" s="59"/>
      <c r="L28" s="59"/>
      <c r="M28" s="59"/>
      <c r="N28" s="59"/>
      <c r="O28" s="59"/>
      <c r="P28" s="59"/>
      <c r="Q28" s="59"/>
      <c r="R28" s="59"/>
      <c r="S28" s="59"/>
      <c r="T28" s="59"/>
      <c r="U28" s="59"/>
      <c r="V28" s="59"/>
    </row>
    <row r="29" spans="1:22" ht="13.5" customHeight="1" thickBot="1" x14ac:dyDescent="0.25">
      <c r="A29" s="869"/>
      <c r="B29" s="870"/>
      <c r="C29" s="478" t="s">
        <v>405</v>
      </c>
      <c r="D29" s="479"/>
      <c r="E29" s="479"/>
      <c r="F29" s="480"/>
      <c r="G29" s="59"/>
      <c r="H29" s="59"/>
      <c r="I29" s="59"/>
      <c r="J29" s="59"/>
      <c r="K29" s="59"/>
      <c r="L29" s="73"/>
      <c r="M29" s="73"/>
      <c r="N29" s="59"/>
      <c r="O29" s="59"/>
      <c r="P29" s="59"/>
      <c r="Q29" s="59"/>
      <c r="R29" s="59"/>
      <c r="S29" s="59"/>
      <c r="T29" s="59"/>
      <c r="U29" s="59"/>
      <c r="V29" s="59"/>
    </row>
    <row r="30" spans="1:22" x14ac:dyDescent="0.2">
      <c r="A30" s="845" t="s">
        <v>406</v>
      </c>
      <c r="B30" s="846"/>
      <c r="C30" s="847"/>
      <c r="D30" s="844" t="s">
        <v>389</v>
      </c>
      <c r="E30" s="844" t="s">
        <v>407</v>
      </c>
      <c r="F30" s="844" t="s">
        <v>391</v>
      </c>
      <c r="G30" s="59"/>
      <c r="H30" s="59"/>
      <c r="I30" s="59"/>
      <c r="J30" s="59"/>
      <c r="K30" s="59"/>
      <c r="L30" s="73"/>
      <c r="M30" s="73"/>
      <c r="N30" s="59"/>
      <c r="O30" s="59"/>
      <c r="P30" s="59"/>
      <c r="Q30" s="59"/>
      <c r="R30" s="59"/>
      <c r="S30" s="59"/>
      <c r="T30" s="59"/>
      <c r="U30" s="59"/>
      <c r="V30" s="59"/>
    </row>
    <row r="31" spans="1:22" ht="23.25" customHeight="1" thickBot="1" x14ac:dyDescent="0.25">
      <c r="A31" s="848"/>
      <c r="B31" s="849"/>
      <c r="C31" s="850"/>
      <c r="D31" s="820"/>
      <c r="E31" s="820"/>
      <c r="F31" s="820"/>
      <c r="G31" s="59"/>
      <c r="H31" s="59"/>
      <c r="I31" s="59"/>
      <c r="J31" s="59"/>
      <c r="K31" s="59"/>
      <c r="L31" s="73"/>
      <c r="M31" s="73"/>
      <c r="N31" s="59"/>
      <c r="O31" s="59"/>
      <c r="P31" s="59"/>
      <c r="Q31" s="59"/>
      <c r="R31" s="59"/>
      <c r="S31" s="59"/>
      <c r="T31" s="59"/>
      <c r="U31" s="59"/>
      <c r="V31" s="59"/>
    </row>
    <row r="32" spans="1:22" ht="13.5" thickBot="1" x14ac:dyDescent="0.25">
      <c r="A32" s="723" t="s">
        <v>408</v>
      </c>
      <c r="B32" s="724"/>
      <c r="C32" s="725"/>
      <c r="D32" s="17"/>
      <c r="E32" s="65">
        <v>0</v>
      </c>
      <c r="F32" s="28">
        <f t="shared" ref="F32:F37" si="0">D32*E32</f>
        <v>0</v>
      </c>
      <c r="G32" s="59"/>
      <c r="H32" s="139" t="s">
        <v>276</v>
      </c>
      <c r="I32" s="106"/>
      <c r="J32" s="107"/>
      <c r="K32" s="136"/>
      <c r="L32" s="136"/>
      <c r="M32" s="136"/>
      <c r="N32" s="59"/>
      <c r="O32" s="59"/>
      <c r="P32" s="59"/>
      <c r="Q32" s="59"/>
      <c r="R32" s="59"/>
      <c r="S32" s="59"/>
      <c r="T32" s="59"/>
      <c r="U32" s="59"/>
      <c r="V32" s="59"/>
    </row>
    <row r="33" spans="1:22" ht="13.5" thickBot="1" x14ac:dyDescent="0.25">
      <c r="A33" s="723" t="s">
        <v>409</v>
      </c>
      <c r="B33" s="724"/>
      <c r="C33" s="725"/>
      <c r="D33" s="17"/>
      <c r="E33" s="65">
        <v>0</v>
      </c>
      <c r="F33" s="28">
        <f t="shared" si="0"/>
        <v>0</v>
      </c>
      <c r="G33" s="126"/>
      <c r="H33" s="108" t="s">
        <v>7</v>
      </c>
      <c r="I33" s="109"/>
      <c r="J33" s="110"/>
      <c r="K33" s="136"/>
      <c r="L33" s="136"/>
      <c r="M33" s="136"/>
      <c r="N33" s="59"/>
      <c r="O33" s="59"/>
      <c r="P33" s="59"/>
      <c r="Q33" s="59"/>
      <c r="R33" s="59"/>
      <c r="S33" s="59"/>
      <c r="T33" s="59"/>
      <c r="U33" s="59"/>
      <c r="V33" s="59"/>
    </row>
    <row r="34" spans="1:22" ht="13.5" thickBot="1" x14ac:dyDescent="0.25">
      <c r="A34" s="723" t="s">
        <v>410</v>
      </c>
      <c r="B34" s="724"/>
      <c r="C34" s="725"/>
      <c r="D34" s="69"/>
      <c r="E34" s="65">
        <v>0</v>
      </c>
      <c r="F34" s="28">
        <f t="shared" si="0"/>
        <v>0</v>
      </c>
      <c r="G34" s="59"/>
      <c r="H34" s="102" t="s">
        <v>8</v>
      </c>
      <c r="I34" s="59"/>
      <c r="J34" s="101"/>
      <c r="K34" s="93"/>
      <c r="L34" s="93"/>
      <c r="M34" s="114"/>
      <c r="N34" s="59"/>
      <c r="O34" s="59"/>
      <c r="P34" s="59"/>
      <c r="Q34" s="59"/>
      <c r="R34" s="59"/>
      <c r="S34" s="59"/>
      <c r="T34" s="59"/>
      <c r="U34" s="59"/>
      <c r="V34" s="59"/>
    </row>
    <row r="35" spans="1:22" ht="13.5" thickBot="1" x14ac:dyDescent="0.25">
      <c r="A35" s="723" t="s">
        <v>411</v>
      </c>
      <c r="B35" s="724"/>
      <c r="C35" s="725"/>
      <c r="D35" s="17"/>
      <c r="E35" s="65">
        <v>0</v>
      </c>
      <c r="F35" s="28">
        <f t="shared" si="0"/>
        <v>0</v>
      </c>
      <c r="G35" s="59"/>
      <c r="H35" s="102" t="s">
        <v>9</v>
      </c>
      <c r="I35" s="59"/>
      <c r="J35" s="101"/>
      <c r="K35" s="59"/>
      <c r="L35" s="73"/>
      <c r="M35" s="73"/>
      <c r="N35" s="59"/>
      <c r="O35" s="59"/>
      <c r="P35" s="59"/>
      <c r="Q35" s="59"/>
      <c r="R35" s="59"/>
      <c r="S35" s="59"/>
      <c r="T35" s="59"/>
      <c r="U35" s="59"/>
      <c r="V35" s="59"/>
    </row>
    <row r="36" spans="1:22" ht="13.5" thickBot="1" x14ac:dyDescent="0.25">
      <c r="A36" s="723" t="s">
        <v>412</v>
      </c>
      <c r="B36" s="724"/>
      <c r="C36" s="725"/>
      <c r="D36" s="69"/>
      <c r="E36" s="65">
        <v>0</v>
      </c>
      <c r="F36" s="28">
        <f t="shared" si="0"/>
        <v>0</v>
      </c>
      <c r="G36" s="59"/>
      <c r="H36" s="102" t="s">
        <v>277</v>
      </c>
      <c r="I36" s="59"/>
      <c r="J36" s="101"/>
      <c r="K36" s="59"/>
      <c r="L36" s="73"/>
      <c r="M36" s="73"/>
      <c r="N36" s="59"/>
      <c r="O36" s="59"/>
      <c r="P36" s="59"/>
      <c r="Q36" s="59"/>
      <c r="R36" s="59"/>
      <c r="S36" s="59"/>
      <c r="T36" s="59"/>
      <c r="U36" s="59"/>
      <c r="V36" s="59"/>
    </row>
    <row r="37" spans="1:22" ht="13.5" thickBot="1" x14ac:dyDescent="0.25">
      <c r="A37" s="723" t="s">
        <v>413</v>
      </c>
      <c r="B37" s="724"/>
      <c r="C37" s="725"/>
      <c r="D37" s="17"/>
      <c r="E37" s="65">
        <v>0</v>
      </c>
      <c r="F37" s="28">
        <f t="shared" si="0"/>
        <v>0</v>
      </c>
      <c r="G37" s="59"/>
      <c r="H37" s="102" t="s">
        <v>11</v>
      </c>
      <c r="I37" s="59"/>
      <c r="J37" s="101"/>
      <c r="K37" s="59"/>
      <c r="L37" s="73"/>
      <c r="M37" s="73"/>
      <c r="N37" s="59"/>
      <c r="O37" s="59"/>
      <c r="P37" s="59"/>
      <c r="Q37" s="59"/>
      <c r="R37" s="59"/>
      <c r="S37" s="59"/>
      <c r="T37" s="59"/>
      <c r="U37" s="59"/>
      <c r="V37" s="59"/>
    </row>
    <row r="38" spans="1:22" x14ac:dyDescent="0.2">
      <c r="A38" s="835" t="s">
        <v>414</v>
      </c>
      <c r="B38" s="836"/>
      <c r="C38" s="836"/>
      <c r="D38" s="835" t="s">
        <v>273</v>
      </c>
      <c r="E38" s="837"/>
      <c r="F38" s="833">
        <f>SUM(F32:F37)</f>
        <v>0</v>
      </c>
      <c r="G38" s="59"/>
      <c r="H38" s="111" t="s">
        <v>15</v>
      </c>
      <c r="I38" s="112"/>
      <c r="J38" s="113"/>
      <c r="K38" s="73"/>
      <c r="L38" s="73"/>
      <c r="M38" s="73"/>
      <c r="N38" s="59"/>
      <c r="O38" s="59"/>
      <c r="P38" s="59"/>
      <c r="Q38" s="59"/>
      <c r="R38" s="59"/>
      <c r="S38" s="59"/>
      <c r="T38" s="59"/>
      <c r="U38" s="59"/>
      <c r="V38" s="59"/>
    </row>
    <row r="39" spans="1:22" ht="13.5" thickBot="1" x14ac:dyDescent="0.25">
      <c r="A39" s="816"/>
      <c r="B39" s="817"/>
      <c r="C39" s="817"/>
      <c r="D39" s="816"/>
      <c r="E39" s="818"/>
      <c r="F39" s="834"/>
      <c r="G39" s="59"/>
      <c r="H39" s="73"/>
      <c r="I39" s="73"/>
      <c r="J39" s="73"/>
      <c r="K39" s="73"/>
      <c r="L39" s="73"/>
      <c r="M39" s="73"/>
      <c r="N39" s="59"/>
      <c r="O39" s="59"/>
      <c r="P39" s="59"/>
      <c r="Q39" s="59"/>
      <c r="R39" s="59"/>
      <c r="S39" s="59"/>
      <c r="T39" s="59"/>
      <c r="U39" s="59"/>
      <c r="V39" s="59"/>
    </row>
    <row r="40" spans="1:22" x14ac:dyDescent="0.2">
      <c r="A40" s="59"/>
      <c r="B40" s="59"/>
      <c r="C40" s="59"/>
      <c r="D40" s="59"/>
      <c r="E40" s="59"/>
      <c r="F40" s="59"/>
      <c r="G40" s="59"/>
      <c r="H40" s="124"/>
      <c r="I40" s="124"/>
      <c r="J40" s="124"/>
      <c r="K40" s="124"/>
      <c r="L40" s="124"/>
      <c r="M40" s="73"/>
      <c r="N40" s="59"/>
      <c r="O40" s="59"/>
      <c r="P40" s="59"/>
      <c r="Q40" s="59"/>
      <c r="R40" s="59"/>
      <c r="S40" s="59"/>
      <c r="T40" s="59"/>
      <c r="U40" s="59"/>
      <c r="V40" s="59"/>
    </row>
    <row r="41" spans="1:22" ht="13.5" thickBot="1" x14ac:dyDescent="0.25">
      <c r="A41" s="59"/>
      <c r="B41" s="59"/>
      <c r="C41" s="59"/>
      <c r="D41" s="59"/>
      <c r="E41" s="59"/>
      <c r="F41" s="59"/>
      <c r="G41" s="59"/>
      <c r="H41" s="124"/>
      <c r="I41" s="124"/>
      <c r="J41" s="124"/>
      <c r="K41" s="124"/>
      <c r="L41" s="124"/>
      <c r="M41" s="73"/>
      <c r="N41" s="59"/>
      <c r="O41" s="59"/>
      <c r="P41" s="59"/>
      <c r="Q41" s="59"/>
      <c r="R41" s="59"/>
      <c r="S41" s="59"/>
      <c r="T41" s="59"/>
      <c r="U41" s="59"/>
      <c r="V41" s="59"/>
    </row>
    <row r="42" spans="1:22" x14ac:dyDescent="0.2">
      <c r="A42" s="827" t="s">
        <v>415</v>
      </c>
      <c r="B42" s="828"/>
      <c r="C42" s="828"/>
      <c r="D42" s="828"/>
      <c r="E42" s="829"/>
      <c r="F42" s="833">
        <f>F20+F38</f>
        <v>0</v>
      </c>
      <c r="G42" s="59"/>
      <c r="H42" s="124"/>
      <c r="I42" s="124"/>
      <c r="J42" s="124"/>
      <c r="K42" s="124"/>
      <c r="L42" s="124"/>
      <c r="M42" s="73"/>
      <c r="N42" s="59"/>
      <c r="O42" s="59"/>
      <c r="P42" s="59"/>
      <c r="Q42" s="59"/>
      <c r="R42" s="59"/>
      <c r="S42" s="59"/>
      <c r="T42" s="59"/>
      <c r="U42" s="59"/>
      <c r="V42" s="59"/>
    </row>
    <row r="43" spans="1:22" ht="13.5" thickBot="1" x14ac:dyDescent="0.25">
      <c r="A43" s="830"/>
      <c r="B43" s="831"/>
      <c r="C43" s="831"/>
      <c r="D43" s="831"/>
      <c r="E43" s="832"/>
      <c r="F43" s="834"/>
      <c r="G43" s="59"/>
      <c r="H43" s="133"/>
      <c r="I43" s="134"/>
      <c r="J43" s="134"/>
      <c r="K43" s="59"/>
      <c r="L43" s="124"/>
      <c r="M43" s="73"/>
      <c r="N43" s="59"/>
      <c r="O43" s="59"/>
      <c r="P43" s="59"/>
      <c r="Q43" s="59"/>
      <c r="R43" s="59"/>
      <c r="S43" s="59"/>
      <c r="T43" s="59"/>
      <c r="U43" s="59"/>
      <c r="V43" s="59"/>
    </row>
    <row r="44" spans="1:22" x14ac:dyDescent="0.2">
      <c r="A44" s="59"/>
      <c r="B44" s="59"/>
      <c r="C44" s="59"/>
      <c r="D44" s="59"/>
      <c r="E44" s="59"/>
      <c r="F44" s="59"/>
      <c r="G44" s="59"/>
      <c r="H44" s="135"/>
      <c r="I44" s="109"/>
      <c r="J44" s="109"/>
      <c r="K44" s="59"/>
      <c r="L44" s="59"/>
      <c r="M44" s="59"/>
      <c r="N44" s="59"/>
      <c r="O44" s="59"/>
      <c r="P44" s="59"/>
      <c r="Q44" s="59"/>
      <c r="R44" s="59"/>
      <c r="S44" s="59"/>
      <c r="T44" s="59"/>
      <c r="U44" s="59"/>
      <c r="V44" s="59"/>
    </row>
    <row r="45" spans="1:22" x14ac:dyDescent="0.2">
      <c r="A45" s="59"/>
      <c r="B45" s="59"/>
      <c r="C45" s="59"/>
      <c r="D45" s="59"/>
      <c r="E45" s="59"/>
      <c r="F45" s="59"/>
      <c r="G45" s="59"/>
      <c r="H45" s="59"/>
      <c r="I45" s="59"/>
      <c r="J45" s="59"/>
      <c r="K45" s="59"/>
      <c r="L45" s="59"/>
      <c r="M45" s="59"/>
      <c r="N45" s="59"/>
      <c r="O45" s="59"/>
      <c r="P45" s="59"/>
      <c r="Q45" s="59"/>
      <c r="R45" s="59"/>
      <c r="S45" s="59"/>
      <c r="T45" s="59"/>
      <c r="U45" s="59"/>
      <c r="V45" s="59"/>
    </row>
    <row r="46" spans="1:22" x14ac:dyDescent="0.2">
      <c r="A46" s="59"/>
      <c r="B46" s="59"/>
      <c r="C46" s="59"/>
      <c r="D46" s="59"/>
      <c r="E46" s="59"/>
      <c r="F46" s="59"/>
      <c r="G46" s="59"/>
      <c r="H46" s="59"/>
      <c r="I46" s="59"/>
      <c r="J46" s="59"/>
      <c r="K46" s="59"/>
      <c r="L46" s="59"/>
      <c r="M46" s="59"/>
      <c r="N46" s="59"/>
      <c r="O46" s="59"/>
      <c r="P46" s="59"/>
      <c r="Q46" s="59"/>
      <c r="R46" s="59"/>
      <c r="S46" s="59"/>
      <c r="T46" s="59"/>
      <c r="U46" s="59"/>
      <c r="V46" s="59"/>
    </row>
    <row r="47" spans="1:22" x14ac:dyDescent="0.2">
      <c r="A47" s="59"/>
      <c r="B47" s="59"/>
      <c r="C47" s="59"/>
      <c r="D47" s="59"/>
      <c r="E47" s="59"/>
      <c r="F47" s="59"/>
      <c r="G47" s="59"/>
      <c r="H47" s="59"/>
      <c r="I47" s="59"/>
      <c r="J47" s="59"/>
      <c r="K47" s="59"/>
      <c r="L47" s="59"/>
      <c r="M47" s="59"/>
      <c r="N47" s="59"/>
      <c r="O47" s="59"/>
      <c r="P47" s="59"/>
      <c r="Q47" s="59"/>
      <c r="R47" s="59"/>
      <c r="S47" s="59"/>
      <c r="T47" s="59"/>
      <c r="U47" s="59"/>
      <c r="V47" s="59"/>
    </row>
    <row r="48" spans="1:22" x14ac:dyDescent="0.2">
      <c r="A48" s="59"/>
      <c r="B48" s="59"/>
      <c r="C48" s="59"/>
      <c r="D48" s="59"/>
      <c r="E48" s="59"/>
      <c r="F48" s="59"/>
      <c r="G48" s="59"/>
      <c r="H48" s="59"/>
      <c r="I48" s="59"/>
      <c r="J48" s="59"/>
      <c r="K48" s="59"/>
      <c r="L48" s="59"/>
      <c r="M48" s="59"/>
      <c r="N48" s="59"/>
      <c r="O48" s="59"/>
      <c r="P48" s="59"/>
      <c r="Q48" s="59"/>
      <c r="R48" s="59"/>
      <c r="S48" s="59"/>
      <c r="T48" s="59"/>
      <c r="U48" s="59"/>
      <c r="V48" s="59"/>
    </row>
    <row r="49" spans="1:22" x14ac:dyDescent="0.2">
      <c r="A49" s="59"/>
      <c r="B49" s="59"/>
      <c r="C49" s="59"/>
      <c r="D49" s="59"/>
      <c r="E49" s="59"/>
      <c r="F49" s="59"/>
      <c r="G49" s="59"/>
      <c r="H49" s="135"/>
      <c r="I49" s="135"/>
      <c r="J49" s="135"/>
      <c r="K49" s="59"/>
      <c r="L49" s="59"/>
      <c r="M49" s="59"/>
      <c r="N49" s="59"/>
      <c r="O49" s="59"/>
      <c r="P49" s="59"/>
      <c r="Q49" s="59"/>
      <c r="R49" s="59"/>
      <c r="S49" s="59"/>
      <c r="T49" s="59"/>
      <c r="U49" s="59"/>
      <c r="V49" s="59"/>
    </row>
    <row r="50" spans="1:22" x14ac:dyDescent="0.2">
      <c r="A50" s="59"/>
      <c r="B50" s="59"/>
      <c r="C50" s="59"/>
      <c r="D50" s="59"/>
      <c r="E50" s="59"/>
      <c r="F50" s="59"/>
      <c r="G50" s="59"/>
      <c r="H50" s="59"/>
      <c r="I50" s="59"/>
      <c r="J50" s="59"/>
      <c r="K50" s="59"/>
      <c r="L50" s="59"/>
      <c r="M50" s="59"/>
      <c r="N50" s="59"/>
      <c r="O50" s="59"/>
      <c r="P50" s="59"/>
      <c r="Q50" s="59"/>
      <c r="R50" s="59"/>
      <c r="S50" s="59"/>
      <c r="T50" s="59"/>
      <c r="U50" s="59"/>
      <c r="V50" s="59"/>
    </row>
    <row r="51" spans="1:22" x14ac:dyDescent="0.2">
      <c r="A51" s="59"/>
      <c r="B51" s="59"/>
      <c r="C51" s="59"/>
      <c r="D51" s="59"/>
      <c r="E51" s="59"/>
      <c r="F51" s="59"/>
      <c r="G51" s="59"/>
      <c r="H51" s="59"/>
      <c r="I51" s="59"/>
      <c r="J51" s="59"/>
      <c r="K51" s="59"/>
      <c r="L51" s="59"/>
      <c r="M51" s="59"/>
      <c r="N51" s="59"/>
      <c r="O51" s="59"/>
      <c r="P51" s="59"/>
      <c r="Q51" s="59"/>
      <c r="R51" s="59"/>
      <c r="S51" s="59"/>
      <c r="T51" s="59"/>
      <c r="U51" s="59"/>
      <c r="V51" s="59"/>
    </row>
    <row r="52" spans="1:22" x14ac:dyDescent="0.2">
      <c r="A52" s="59"/>
      <c r="B52" s="59"/>
      <c r="C52" s="59"/>
      <c r="D52" s="59"/>
      <c r="E52" s="59"/>
      <c r="F52" s="59"/>
      <c r="G52" s="59"/>
      <c r="H52" s="59"/>
      <c r="I52" s="59"/>
      <c r="J52" s="59"/>
      <c r="K52" s="59"/>
      <c r="L52" s="59"/>
      <c r="M52" s="59"/>
      <c r="N52" s="59"/>
      <c r="O52" s="59"/>
      <c r="P52" s="59"/>
      <c r="Q52" s="59"/>
      <c r="R52" s="59"/>
      <c r="S52" s="59"/>
      <c r="T52" s="59"/>
      <c r="U52" s="59"/>
      <c r="V52" s="59"/>
    </row>
    <row r="53" spans="1:22" x14ac:dyDescent="0.2">
      <c r="A53" s="59"/>
      <c r="B53" s="59"/>
      <c r="C53" s="59"/>
      <c r="D53" s="59"/>
      <c r="E53" s="59"/>
      <c r="F53" s="59"/>
      <c r="G53" s="59"/>
      <c r="H53" s="59"/>
      <c r="I53" s="59"/>
      <c r="J53" s="59"/>
      <c r="K53" s="59"/>
      <c r="L53" s="59"/>
      <c r="M53" s="59"/>
      <c r="N53" s="59"/>
      <c r="O53" s="59"/>
      <c r="P53" s="59"/>
      <c r="Q53" s="59"/>
      <c r="R53" s="59"/>
      <c r="S53" s="59"/>
      <c r="T53" s="59"/>
      <c r="U53" s="59"/>
      <c r="V53" s="59"/>
    </row>
    <row r="54" spans="1:22" x14ac:dyDescent="0.2">
      <c r="A54" s="59"/>
      <c r="B54" s="59"/>
      <c r="C54" s="59"/>
      <c r="D54" s="59"/>
      <c r="E54" s="59"/>
      <c r="F54" s="59"/>
      <c r="G54" s="59"/>
      <c r="H54" s="137"/>
      <c r="I54" s="137"/>
      <c r="J54" s="137"/>
      <c r="K54" s="137"/>
      <c r="L54" s="59"/>
      <c r="M54" s="59"/>
      <c r="N54" s="59"/>
      <c r="O54" s="59"/>
      <c r="P54" s="59"/>
      <c r="Q54" s="59"/>
      <c r="R54" s="59"/>
      <c r="S54" s="59"/>
      <c r="T54" s="59"/>
      <c r="U54" s="59"/>
      <c r="V54" s="59"/>
    </row>
    <row r="55" spans="1:22" x14ac:dyDescent="0.2">
      <c r="A55" s="59"/>
      <c r="B55" s="59"/>
      <c r="C55" s="59"/>
      <c r="D55" s="59"/>
      <c r="E55" s="59"/>
      <c r="F55" s="59"/>
      <c r="G55" s="59"/>
      <c r="H55" s="137"/>
      <c r="I55" s="137"/>
      <c r="J55" s="137"/>
      <c r="K55" s="137"/>
      <c r="L55" s="59"/>
      <c r="M55" s="59"/>
      <c r="N55" s="59"/>
      <c r="O55" s="59"/>
      <c r="P55" s="59"/>
      <c r="Q55" s="59"/>
      <c r="R55" s="59"/>
      <c r="S55" s="59"/>
      <c r="T55" s="59"/>
      <c r="U55" s="59"/>
      <c r="V55" s="59"/>
    </row>
    <row r="56" spans="1:22" x14ac:dyDescent="0.2">
      <c r="A56" s="59"/>
      <c r="B56" s="59"/>
      <c r="C56" s="59"/>
      <c r="D56" s="59"/>
      <c r="E56" s="59"/>
      <c r="F56" s="59"/>
      <c r="G56" s="59"/>
      <c r="H56" s="137"/>
      <c r="I56" s="137"/>
      <c r="J56" s="137"/>
      <c r="K56" s="137"/>
      <c r="L56" s="59"/>
      <c r="M56" s="59"/>
      <c r="N56" s="59"/>
      <c r="O56" s="59"/>
      <c r="P56" s="59"/>
      <c r="Q56" s="59"/>
      <c r="R56" s="59"/>
      <c r="S56" s="59"/>
      <c r="T56" s="59"/>
      <c r="U56" s="59"/>
      <c r="V56" s="59"/>
    </row>
    <row r="57" spans="1:22" x14ac:dyDescent="0.2">
      <c r="A57" s="59"/>
      <c r="B57" s="59"/>
      <c r="C57" s="59"/>
      <c r="D57" s="59"/>
      <c r="E57" s="59"/>
      <c r="F57" s="59"/>
      <c r="G57" s="59"/>
      <c r="H57" s="137"/>
      <c r="I57" s="137"/>
      <c r="J57" s="137"/>
      <c r="K57" s="137"/>
      <c r="L57" s="59"/>
      <c r="M57" s="59"/>
      <c r="N57" s="59"/>
      <c r="O57" s="59"/>
      <c r="P57" s="59"/>
      <c r="Q57" s="59"/>
      <c r="R57" s="59"/>
      <c r="S57" s="59"/>
      <c r="T57" s="59"/>
      <c r="U57" s="59"/>
      <c r="V57" s="59"/>
    </row>
    <row r="58" spans="1:22" x14ac:dyDescent="0.2">
      <c r="A58" s="59"/>
      <c r="B58" s="59"/>
      <c r="C58" s="59"/>
      <c r="D58" s="59"/>
      <c r="E58" s="59"/>
      <c r="F58" s="59"/>
      <c r="G58" s="59"/>
      <c r="H58" s="137"/>
      <c r="I58" s="137"/>
      <c r="J58" s="137"/>
      <c r="K58" s="137"/>
      <c r="L58" s="59"/>
      <c r="M58" s="59"/>
      <c r="N58" s="59"/>
      <c r="O58" s="59"/>
      <c r="P58" s="59"/>
      <c r="Q58" s="59"/>
      <c r="R58" s="59"/>
      <c r="S58" s="59"/>
      <c r="T58" s="59"/>
      <c r="U58" s="59"/>
      <c r="V58" s="59"/>
    </row>
    <row r="59" spans="1:22" x14ac:dyDescent="0.2">
      <c r="A59" s="59"/>
      <c r="B59" s="59"/>
      <c r="C59" s="59"/>
      <c r="D59" s="59"/>
      <c r="E59" s="59"/>
      <c r="F59" s="59"/>
      <c r="G59" s="59"/>
      <c r="H59" s="137"/>
      <c r="I59" s="137"/>
      <c r="J59" s="137"/>
      <c r="K59" s="137"/>
      <c r="L59" s="59"/>
      <c r="M59" s="59"/>
      <c r="N59" s="59"/>
      <c r="O59" s="59"/>
      <c r="P59" s="59"/>
      <c r="Q59" s="59"/>
      <c r="R59" s="59"/>
      <c r="S59" s="59"/>
      <c r="T59" s="59"/>
      <c r="U59" s="59"/>
      <c r="V59" s="59"/>
    </row>
    <row r="60" spans="1:22" x14ac:dyDescent="0.2">
      <c r="A60" s="59"/>
      <c r="B60" s="59"/>
      <c r="C60" s="59"/>
      <c r="D60" s="59"/>
      <c r="E60" s="59"/>
      <c r="F60" s="59"/>
      <c r="G60" s="59"/>
      <c r="H60" s="137"/>
      <c r="I60" s="137"/>
      <c r="J60" s="137"/>
      <c r="K60" s="137"/>
      <c r="L60" s="59"/>
      <c r="M60" s="59"/>
      <c r="N60" s="59"/>
      <c r="O60" s="59"/>
      <c r="P60" s="59"/>
      <c r="Q60" s="59"/>
      <c r="R60" s="59"/>
      <c r="S60" s="59"/>
      <c r="T60" s="59"/>
      <c r="U60" s="59"/>
      <c r="V60" s="59"/>
    </row>
    <row r="61" spans="1:22" x14ac:dyDescent="0.2">
      <c r="A61" s="59"/>
      <c r="B61" s="59"/>
      <c r="C61" s="59"/>
      <c r="D61" s="59"/>
      <c r="E61" s="59"/>
      <c r="F61" s="59"/>
      <c r="G61" s="59"/>
      <c r="H61" s="137"/>
      <c r="I61" s="137"/>
      <c r="J61" s="137"/>
      <c r="K61" s="137"/>
      <c r="L61" s="59"/>
      <c r="M61" s="59"/>
      <c r="N61" s="59"/>
      <c r="O61" s="59"/>
      <c r="P61" s="59"/>
      <c r="Q61" s="59"/>
      <c r="R61" s="59"/>
      <c r="S61" s="59"/>
      <c r="T61" s="59"/>
      <c r="U61" s="59"/>
      <c r="V61" s="59"/>
    </row>
    <row r="62" spans="1:22" x14ac:dyDescent="0.2">
      <c r="A62" s="59"/>
      <c r="B62" s="59"/>
      <c r="C62" s="59"/>
      <c r="D62" s="59"/>
      <c r="E62" s="59"/>
      <c r="F62" s="59"/>
      <c r="G62" s="59"/>
      <c r="H62" s="137"/>
      <c r="I62" s="137"/>
      <c r="J62" s="137"/>
      <c r="K62" s="137"/>
      <c r="L62" s="59"/>
      <c r="M62" s="59"/>
      <c r="N62" s="59"/>
      <c r="O62" s="59"/>
      <c r="P62" s="59"/>
      <c r="Q62" s="59"/>
      <c r="R62" s="59"/>
      <c r="S62" s="59"/>
      <c r="T62" s="59"/>
      <c r="U62" s="59"/>
      <c r="V62" s="59"/>
    </row>
    <row r="63" spans="1:22" x14ac:dyDescent="0.2">
      <c r="A63" s="59"/>
      <c r="B63" s="59"/>
      <c r="C63" s="59"/>
      <c r="D63" s="59"/>
      <c r="E63" s="59"/>
      <c r="F63" s="59"/>
      <c r="G63" s="59"/>
      <c r="H63" s="59"/>
      <c r="I63" s="59"/>
      <c r="J63" s="59"/>
      <c r="K63" s="59"/>
      <c r="L63" s="59"/>
      <c r="M63" s="59"/>
      <c r="N63" s="59"/>
      <c r="O63" s="59"/>
      <c r="P63" s="59"/>
      <c r="Q63" s="59"/>
      <c r="R63" s="59"/>
      <c r="S63" s="59"/>
      <c r="T63" s="59"/>
      <c r="U63" s="59"/>
      <c r="V63" s="59"/>
    </row>
    <row r="64" spans="1:22" x14ac:dyDescent="0.2">
      <c r="A64" s="59"/>
      <c r="B64" s="59"/>
      <c r="C64" s="59"/>
      <c r="D64" s="59"/>
      <c r="E64" s="59"/>
      <c r="F64" s="59"/>
      <c r="G64" s="59"/>
      <c r="H64" s="59"/>
      <c r="I64" s="59"/>
      <c r="J64" s="59"/>
      <c r="K64" s="59"/>
      <c r="L64" s="59"/>
      <c r="M64" s="59"/>
      <c r="N64" s="59"/>
      <c r="O64" s="59"/>
      <c r="P64" s="59"/>
      <c r="Q64" s="59"/>
      <c r="R64" s="59"/>
      <c r="S64" s="59"/>
      <c r="T64" s="59"/>
      <c r="U64" s="59"/>
      <c r="V64" s="59"/>
    </row>
    <row r="65" spans="1:22" x14ac:dyDescent="0.2">
      <c r="A65" s="59"/>
      <c r="B65" s="59"/>
      <c r="C65" s="59"/>
      <c r="D65" s="59"/>
      <c r="E65" s="59"/>
      <c r="F65" s="59"/>
      <c r="G65" s="59"/>
      <c r="H65" s="59"/>
      <c r="I65" s="59"/>
      <c r="J65" s="59"/>
      <c r="K65" s="59"/>
      <c r="L65" s="59"/>
      <c r="M65" s="59"/>
      <c r="N65" s="59"/>
      <c r="O65" s="59"/>
      <c r="P65" s="59"/>
      <c r="Q65" s="59"/>
      <c r="R65" s="59"/>
      <c r="S65" s="59"/>
      <c r="T65" s="59"/>
      <c r="U65" s="59"/>
      <c r="V65" s="59"/>
    </row>
    <row r="66" spans="1:22" x14ac:dyDescent="0.2">
      <c r="A66" s="59"/>
      <c r="B66" s="59"/>
      <c r="C66" s="59"/>
      <c r="D66" s="59"/>
      <c r="E66" s="59"/>
      <c r="F66" s="59"/>
      <c r="G66" s="59"/>
      <c r="H66" s="59"/>
      <c r="I66" s="59"/>
      <c r="J66" s="59"/>
      <c r="K66" s="59"/>
      <c r="L66" s="59"/>
      <c r="M66" s="59"/>
      <c r="N66" s="59"/>
      <c r="O66" s="59"/>
      <c r="P66" s="59"/>
      <c r="Q66" s="59"/>
      <c r="R66" s="59"/>
      <c r="S66" s="59"/>
      <c r="T66" s="59"/>
      <c r="U66" s="59"/>
      <c r="V66" s="59"/>
    </row>
    <row r="67" spans="1:22" x14ac:dyDescent="0.2">
      <c r="A67" s="59"/>
      <c r="B67" s="59"/>
      <c r="C67" s="59"/>
      <c r="D67" s="59"/>
      <c r="E67" s="59"/>
      <c r="F67" s="59"/>
      <c r="G67" s="59"/>
      <c r="H67" s="59"/>
      <c r="I67" s="59"/>
      <c r="J67" s="59"/>
      <c r="K67" s="59"/>
      <c r="L67" s="59"/>
      <c r="M67" s="59"/>
      <c r="N67" s="59"/>
      <c r="O67" s="59"/>
      <c r="P67" s="59"/>
      <c r="Q67" s="59"/>
      <c r="R67" s="59"/>
      <c r="S67" s="59"/>
      <c r="T67" s="59"/>
      <c r="U67" s="59"/>
      <c r="V67" s="59"/>
    </row>
    <row r="68" spans="1:22" x14ac:dyDescent="0.2">
      <c r="A68" s="59"/>
      <c r="B68" s="59"/>
      <c r="C68" s="59"/>
      <c r="D68" s="59"/>
      <c r="E68" s="59"/>
      <c r="F68" s="59"/>
      <c r="G68" s="59"/>
      <c r="H68" s="59"/>
      <c r="I68" s="59"/>
      <c r="J68" s="59"/>
      <c r="K68" s="59"/>
      <c r="L68" s="59"/>
      <c r="M68" s="59"/>
      <c r="N68" s="59"/>
      <c r="O68" s="59"/>
      <c r="P68" s="59"/>
      <c r="Q68" s="59"/>
      <c r="R68" s="59"/>
      <c r="S68" s="59"/>
      <c r="T68" s="59"/>
      <c r="U68" s="59"/>
      <c r="V68" s="59"/>
    </row>
    <row r="69" spans="1:22" x14ac:dyDescent="0.2">
      <c r="A69" s="59"/>
      <c r="B69" s="59"/>
      <c r="C69" s="59"/>
      <c r="D69" s="59"/>
      <c r="E69" s="59"/>
      <c r="F69" s="59"/>
      <c r="G69" s="59"/>
      <c r="H69" s="59"/>
      <c r="I69" s="59"/>
      <c r="J69" s="59"/>
      <c r="K69" s="59"/>
      <c r="L69" s="59"/>
      <c r="M69" s="59"/>
      <c r="N69" s="59"/>
      <c r="O69" s="59"/>
      <c r="P69" s="59"/>
      <c r="Q69" s="59"/>
      <c r="R69" s="59"/>
      <c r="S69" s="59"/>
      <c r="T69" s="59"/>
      <c r="U69" s="59"/>
      <c r="V69" s="59"/>
    </row>
    <row r="70" spans="1:22" x14ac:dyDescent="0.2">
      <c r="A70" s="59"/>
      <c r="B70" s="59"/>
      <c r="C70" s="59"/>
      <c r="D70" s="59"/>
      <c r="E70" s="59"/>
      <c r="F70" s="59"/>
      <c r="G70" s="59"/>
      <c r="H70" s="59"/>
      <c r="I70" s="59"/>
      <c r="J70" s="59"/>
      <c r="K70" s="59"/>
      <c r="L70" s="59"/>
      <c r="M70" s="59"/>
      <c r="N70" s="59"/>
      <c r="O70" s="59"/>
      <c r="P70" s="59"/>
      <c r="Q70" s="59"/>
      <c r="R70" s="59"/>
      <c r="S70" s="59"/>
      <c r="T70" s="59"/>
      <c r="U70" s="59"/>
      <c r="V70" s="59"/>
    </row>
    <row r="71" spans="1:22" x14ac:dyDescent="0.2">
      <c r="A71" s="59"/>
      <c r="B71" s="59"/>
      <c r="C71" s="59"/>
      <c r="D71" s="59"/>
      <c r="E71" s="59"/>
      <c r="F71" s="59"/>
      <c r="G71" s="59"/>
      <c r="H71" s="59"/>
      <c r="I71" s="59"/>
      <c r="J71" s="59"/>
      <c r="K71" s="59"/>
      <c r="L71" s="59"/>
      <c r="M71" s="59"/>
      <c r="N71" s="59"/>
      <c r="O71" s="59"/>
      <c r="P71" s="59"/>
      <c r="Q71" s="59"/>
      <c r="R71" s="59"/>
      <c r="S71" s="59"/>
      <c r="T71" s="59"/>
      <c r="U71" s="59"/>
      <c r="V71" s="59"/>
    </row>
    <row r="72" spans="1:22" x14ac:dyDescent="0.2">
      <c r="A72" s="59"/>
      <c r="B72" s="59"/>
      <c r="C72" s="59"/>
      <c r="D72" s="59"/>
      <c r="E72" s="59"/>
      <c r="F72" s="59"/>
      <c r="G72" s="59"/>
      <c r="H72" s="59"/>
      <c r="I72" s="59"/>
      <c r="J72" s="59"/>
      <c r="K72" s="59"/>
      <c r="L72" s="59"/>
      <c r="M72" s="59"/>
      <c r="N72" s="59"/>
      <c r="O72" s="59"/>
      <c r="P72" s="59"/>
      <c r="Q72" s="59"/>
      <c r="R72" s="59"/>
      <c r="S72" s="59"/>
      <c r="T72" s="59"/>
      <c r="U72" s="59"/>
      <c r="V72" s="59"/>
    </row>
    <row r="73" spans="1:22" x14ac:dyDescent="0.2">
      <c r="A73" s="59"/>
      <c r="B73" s="59"/>
      <c r="C73" s="59"/>
      <c r="D73" s="59"/>
      <c r="E73" s="59"/>
      <c r="F73" s="59"/>
      <c r="G73" s="59"/>
      <c r="H73" s="59"/>
      <c r="I73" s="59"/>
      <c r="J73" s="59"/>
      <c r="K73" s="59"/>
      <c r="L73" s="59"/>
      <c r="M73" s="59"/>
      <c r="N73" s="59"/>
      <c r="O73" s="59"/>
      <c r="P73" s="59"/>
      <c r="Q73" s="59"/>
      <c r="R73" s="59"/>
      <c r="S73" s="59"/>
      <c r="T73" s="59"/>
      <c r="U73" s="59"/>
      <c r="V73" s="59"/>
    </row>
    <row r="74" spans="1:22" x14ac:dyDescent="0.2">
      <c r="A74" s="59"/>
      <c r="B74" s="59"/>
      <c r="C74" s="59"/>
      <c r="D74" s="59"/>
      <c r="E74" s="59"/>
      <c r="F74" s="59"/>
      <c r="G74" s="59"/>
      <c r="H74" s="59"/>
      <c r="I74" s="59"/>
      <c r="J74" s="59"/>
      <c r="K74" s="59"/>
      <c r="L74" s="59"/>
      <c r="M74" s="59"/>
      <c r="N74" s="59"/>
      <c r="O74" s="59"/>
      <c r="P74" s="59"/>
      <c r="Q74" s="59"/>
      <c r="R74" s="59"/>
      <c r="S74" s="59"/>
      <c r="T74" s="59"/>
      <c r="U74" s="59"/>
      <c r="V74" s="59"/>
    </row>
    <row r="75" spans="1:22" x14ac:dyDescent="0.2">
      <c r="A75" s="59"/>
      <c r="B75" s="59"/>
      <c r="C75" s="59"/>
      <c r="D75" s="59"/>
      <c r="E75" s="59"/>
      <c r="F75" s="59"/>
      <c r="G75" s="59"/>
      <c r="H75" s="59"/>
      <c r="I75" s="59"/>
      <c r="J75" s="59"/>
      <c r="K75" s="59"/>
      <c r="L75" s="59"/>
      <c r="M75" s="59"/>
      <c r="N75" s="59"/>
      <c r="O75" s="59"/>
      <c r="P75" s="59"/>
      <c r="Q75" s="59"/>
      <c r="R75" s="59"/>
      <c r="S75" s="59"/>
      <c r="T75" s="59"/>
      <c r="U75" s="59"/>
      <c r="V75" s="59"/>
    </row>
    <row r="76" spans="1:22" x14ac:dyDescent="0.2">
      <c r="A76" s="59"/>
      <c r="B76" s="59"/>
      <c r="C76" s="59"/>
      <c r="D76" s="59"/>
      <c r="E76" s="59"/>
      <c r="F76" s="59"/>
      <c r="G76" s="59"/>
      <c r="H76" s="59"/>
      <c r="I76" s="59"/>
      <c r="J76" s="59"/>
      <c r="K76" s="59"/>
      <c r="L76" s="59"/>
      <c r="M76" s="59"/>
      <c r="N76" s="59"/>
      <c r="O76" s="59"/>
      <c r="P76" s="59"/>
      <c r="Q76" s="59"/>
      <c r="R76" s="59"/>
      <c r="S76" s="59"/>
      <c r="T76" s="59"/>
      <c r="U76" s="59"/>
      <c r="V76" s="59"/>
    </row>
    <row r="77" spans="1:22" x14ac:dyDescent="0.2">
      <c r="A77" s="59"/>
      <c r="B77" s="59"/>
      <c r="C77" s="59"/>
      <c r="D77" s="59"/>
      <c r="E77" s="59"/>
      <c r="F77" s="59"/>
      <c r="G77" s="59"/>
      <c r="H77" s="59"/>
      <c r="I77" s="59"/>
      <c r="J77" s="59"/>
      <c r="K77" s="59"/>
      <c r="L77" s="59"/>
      <c r="M77" s="59"/>
      <c r="N77" s="59"/>
      <c r="O77" s="59"/>
      <c r="P77" s="59"/>
      <c r="Q77" s="59"/>
      <c r="R77" s="59"/>
      <c r="S77" s="59"/>
      <c r="T77" s="59"/>
      <c r="U77" s="59"/>
      <c r="V77" s="59"/>
    </row>
    <row r="78" spans="1:22" x14ac:dyDescent="0.2">
      <c r="A78" s="59"/>
      <c r="B78" s="59"/>
      <c r="C78" s="59"/>
      <c r="D78" s="59"/>
      <c r="E78" s="59"/>
      <c r="F78" s="59"/>
      <c r="G78" s="59"/>
      <c r="H78" s="59"/>
      <c r="I78" s="59"/>
      <c r="J78" s="59"/>
      <c r="K78" s="59"/>
      <c r="L78" s="59"/>
      <c r="M78" s="59"/>
      <c r="N78" s="59"/>
      <c r="O78" s="59"/>
      <c r="P78" s="59"/>
      <c r="Q78" s="59"/>
      <c r="R78" s="59"/>
      <c r="S78" s="59"/>
      <c r="T78" s="59"/>
      <c r="U78" s="59"/>
      <c r="V78" s="59"/>
    </row>
    <row r="79" spans="1:22" x14ac:dyDescent="0.2">
      <c r="A79" s="59"/>
      <c r="B79" s="59"/>
      <c r="C79" s="59"/>
      <c r="D79" s="59"/>
      <c r="E79" s="59"/>
      <c r="F79" s="59"/>
      <c r="G79" s="59"/>
      <c r="H79" s="59"/>
      <c r="I79" s="59"/>
      <c r="J79" s="59"/>
      <c r="K79" s="59"/>
      <c r="L79" s="59"/>
      <c r="M79" s="59"/>
      <c r="N79" s="59"/>
      <c r="O79" s="59"/>
      <c r="P79" s="59"/>
      <c r="Q79" s="59"/>
      <c r="R79" s="59"/>
      <c r="S79" s="59"/>
      <c r="T79" s="59"/>
      <c r="U79" s="59"/>
      <c r="V79" s="59"/>
    </row>
    <row r="80" spans="1:22" x14ac:dyDescent="0.2">
      <c r="A80" s="59"/>
      <c r="B80" s="59"/>
      <c r="C80" s="59"/>
      <c r="D80" s="59"/>
      <c r="E80" s="59"/>
      <c r="F80" s="59"/>
      <c r="G80" s="59"/>
      <c r="H80" s="59"/>
      <c r="I80" s="59"/>
      <c r="J80" s="59"/>
      <c r="K80" s="59"/>
      <c r="L80" s="59"/>
      <c r="M80" s="59"/>
      <c r="N80" s="59"/>
      <c r="O80" s="59"/>
      <c r="P80" s="59"/>
      <c r="Q80" s="59"/>
      <c r="R80" s="59"/>
      <c r="S80" s="59"/>
      <c r="T80" s="59"/>
      <c r="U80" s="59"/>
      <c r="V80" s="59"/>
    </row>
    <row r="81" spans="1:22" x14ac:dyDescent="0.2">
      <c r="A81" s="59"/>
      <c r="B81" s="59"/>
      <c r="C81" s="59"/>
      <c r="D81" s="59"/>
      <c r="E81" s="59"/>
      <c r="F81" s="59"/>
      <c r="G81" s="59"/>
      <c r="H81" s="59"/>
      <c r="I81" s="59"/>
      <c r="J81" s="59"/>
      <c r="K81" s="59"/>
      <c r="L81" s="59"/>
      <c r="M81" s="59"/>
      <c r="N81" s="59"/>
      <c r="O81" s="59"/>
      <c r="P81" s="59"/>
      <c r="Q81" s="59"/>
      <c r="R81" s="59"/>
      <c r="S81" s="59"/>
      <c r="T81" s="59"/>
      <c r="U81" s="59"/>
      <c r="V81" s="59"/>
    </row>
    <row r="82" spans="1:22" x14ac:dyDescent="0.2">
      <c r="A82" s="59"/>
      <c r="B82" s="59"/>
      <c r="C82" s="59"/>
      <c r="D82" s="59"/>
      <c r="E82" s="59"/>
      <c r="F82" s="59"/>
      <c r="G82" s="59"/>
      <c r="H82" s="59"/>
      <c r="I82" s="59"/>
      <c r="J82" s="59"/>
      <c r="K82" s="59"/>
      <c r="L82" s="59"/>
      <c r="M82" s="59"/>
      <c r="N82" s="59"/>
      <c r="O82" s="59"/>
      <c r="P82" s="59"/>
      <c r="Q82" s="59"/>
      <c r="R82" s="59"/>
      <c r="S82" s="59"/>
      <c r="T82" s="59"/>
      <c r="U82" s="59"/>
      <c r="V82" s="59"/>
    </row>
    <row r="83" spans="1:22" x14ac:dyDescent="0.2">
      <c r="A83" s="59"/>
      <c r="B83" s="59"/>
      <c r="C83" s="59"/>
      <c r="D83" s="59"/>
      <c r="E83" s="59"/>
      <c r="F83" s="59"/>
      <c r="G83" s="59"/>
      <c r="H83" s="59"/>
      <c r="I83" s="59"/>
      <c r="J83" s="59"/>
      <c r="K83" s="59"/>
      <c r="L83" s="59"/>
      <c r="M83" s="59"/>
      <c r="N83" s="59"/>
      <c r="O83" s="59"/>
      <c r="P83" s="59"/>
      <c r="Q83" s="59"/>
      <c r="R83" s="59"/>
      <c r="S83" s="59"/>
      <c r="T83" s="59"/>
      <c r="U83" s="59"/>
      <c r="V83" s="59"/>
    </row>
    <row r="84" spans="1:22" x14ac:dyDescent="0.2">
      <c r="A84" s="59"/>
      <c r="B84" s="59"/>
      <c r="C84" s="59"/>
      <c r="D84" s="59"/>
      <c r="E84" s="59"/>
      <c r="F84" s="59"/>
      <c r="G84" s="59"/>
      <c r="H84" s="59"/>
      <c r="I84" s="59"/>
      <c r="J84" s="59"/>
      <c r="K84" s="59"/>
      <c r="L84" s="59"/>
      <c r="M84" s="59"/>
      <c r="N84" s="59"/>
      <c r="O84" s="59"/>
      <c r="P84" s="59"/>
      <c r="Q84" s="59"/>
      <c r="R84" s="59"/>
      <c r="S84" s="59"/>
      <c r="T84" s="59"/>
      <c r="U84" s="59"/>
      <c r="V84" s="59"/>
    </row>
    <row r="85" spans="1:22" x14ac:dyDescent="0.2">
      <c r="A85" s="59"/>
      <c r="B85" s="59"/>
      <c r="C85" s="59"/>
      <c r="D85" s="59"/>
      <c r="E85" s="59"/>
      <c r="F85" s="59"/>
      <c r="G85" s="59"/>
      <c r="H85" s="59"/>
      <c r="I85" s="59"/>
      <c r="J85" s="59"/>
      <c r="K85" s="59"/>
      <c r="L85" s="59"/>
      <c r="M85" s="59"/>
      <c r="N85" s="59"/>
      <c r="O85" s="59"/>
      <c r="P85" s="59"/>
      <c r="Q85" s="59"/>
      <c r="R85" s="59"/>
      <c r="S85" s="59"/>
      <c r="T85" s="59"/>
      <c r="U85" s="59"/>
      <c r="V85" s="59"/>
    </row>
    <row r="86" spans="1:22" x14ac:dyDescent="0.2">
      <c r="A86" s="59"/>
      <c r="B86" s="59"/>
      <c r="C86" s="59"/>
      <c r="D86" s="59"/>
      <c r="E86" s="59"/>
      <c r="F86" s="59"/>
      <c r="G86" s="59"/>
      <c r="H86" s="59"/>
      <c r="I86" s="59"/>
      <c r="J86" s="59"/>
      <c r="K86" s="59"/>
      <c r="L86" s="59"/>
      <c r="M86" s="59"/>
      <c r="N86" s="59"/>
      <c r="O86" s="59"/>
      <c r="P86" s="59"/>
      <c r="Q86" s="59"/>
      <c r="R86" s="59"/>
      <c r="S86" s="59"/>
      <c r="T86" s="59"/>
      <c r="U86" s="59"/>
      <c r="V86" s="59"/>
    </row>
    <row r="87" spans="1:22" x14ac:dyDescent="0.2">
      <c r="A87" s="59"/>
      <c r="B87" s="59"/>
      <c r="C87" s="59"/>
      <c r="D87" s="59"/>
      <c r="E87" s="59"/>
      <c r="F87" s="59"/>
      <c r="G87" s="59"/>
      <c r="H87" s="59"/>
      <c r="I87" s="59"/>
      <c r="J87" s="59"/>
      <c r="K87" s="59"/>
      <c r="L87" s="59"/>
      <c r="M87" s="59"/>
      <c r="N87" s="59"/>
      <c r="O87" s="59"/>
      <c r="P87" s="59"/>
      <c r="Q87" s="59"/>
      <c r="R87" s="59"/>
      <c r="S87" s="59"/>
      <c r="T87" s="59"/>
      <c r="U87" s="59"/>
      <c r="V87" s="59"/>
    </row>
    <row r="88" spans="1:22" x14ac:dyDescent="0.2">
      <c r="A88" s="59"/>
      <c r="B88" s="59"/>
      <c r="C88" s="59"/>
      <c r="D88" s="59"/>
      <c r="E88" s="59"/>
      <c r="F88" s="59"/>
      <c r="G88" s="59"/>
      <c r="H88" s="59"/>
      <c r="I88" s="59"/>
      <c r="J88" s="59"/>
      <c r="K88" s="59"/>
      <c r="L88" s="59"/>
      <c r="M88" s="59"/>
      <c r="N88" s="59"/>
      <c r="O88" s="59"/>
      <c r="P88" s="59"/>
      <c r="Q88" s="59"/>
      <c r="R88" s="59"/>
      <c r="S88" s="59"/>
      <c r="T88" s="59"/>
      <c r="U88" s="59"/>
      <c r="V88" s="59"/>
    </row>
    <row r="89" spans="1:22" x14ac:dyDescent="0.2">
      <c r="A89" s="59"/>
      <c r="B89" s="59"/>
      <c r="C89" s="59"/>
      <c r="D89" s="59"/>
      <c r="E89" s="59"/>
      <c r="F89" s="59"/>
      <c r="G89" s="59"/>
      <c r="H89" s="59"/>
      <c r="I89" s="59"/>
      <c r="J89" s="59"/>
      <c r="K89" s="59"/>
      <c r="L89" s="59"/>
      <c r="M89" s="59"/>
      <c r="N89" s="59"/>
      <c r="O89" s="59"/>
      <c r="P89" s="59"/>
      <c r="Q89" s="59"/>
      <c r="R89" s="59"/>
      <c r="S89" s="59"/>
      <c r="T89" s="59"/>
      <c r="U89" s="59"/>
      <c r="V89" s="59"/>
    </row>
    <row r="90" spans="1:22" x14ac:dyDescent="0.2">
      <c r="A90" s="59"/>
      <c r="B90" s="59"/>
      <c r="C90" s="59"/>
      <c r="D90" s="59"/>
      <c r="E90" s="59"/>
      <c r="F90" s="59"/>
      <c r="G90" s="59"/>
      <c r="H90" s="59"/>
      <c r="I90" s="59"/>
      <c r="J90" s="59"/>
      <c r="K90" s="59"/>
      <c r="L90" s="59"/>
      <c r="M90" s="59"/>
      <c r="N90" s="59"/>
      <c r="O90" s="59"/>
      <c r="P90" s="59"/>
      <c r="Q90" s="59"/>
      <c r="R90" s="59"/>
      <c r="S90" s="59"/>
      <c r="T90" s="59"/>
      <c r="U90" s="59"/>
      <c r="V90" s="59"/>
    </row>
    <row r="91" spans="1:22" x14ac:dyDescent="0.2">
      <c r="A91" s="59"/>
      <c r="B91" s="59"/>
      <c r="C91" s="59"/>
      <c r="D91" s="59"/>
      <c r="E91" s="59"/>
      <c r="F91" s="59"/>
      <c r="G91" s="59"/>
      <c r="H91" s="59"/>
      <c r="I91" s="59"/>
      <c r="J91" s="59"/>
      <c r="K91" s="59"/>
      <c r="L91" s="59"/>
      <c r="M91" s="59"/>
      <c r="N91" s="59"/>
      <c r="O91" s="59"/>
      <c r="P91" s="59"/>
      <c r="Q91" s="59"/>
      <c r="R91" s="59"/>
      <c r="S91" s="59"/>
      <c r="T91" s="59"/>
      <c r="U91" s="59"/>
      <c r="V91" s="59"/>
    </row>
    <row r="92" spans="1:22" x14ac:dyDescent="0.2">
      <c r="A92" s="59"/>
      <c r="B92" s="59"/>
      <c r="C92" s="59"/>
      <c r="D92" s="59"/>
      <c r="E92" s="59"/>
      <c r="F92" s="59"/>
      <c r="G92" s="59"/>
      <c r="H92" s="59"/>
      <c r="I92" s="59"/>
      <c r="J92" s="59"/>
      <c r="K92" s="59"/>
      <c r="L92" s="59"/>
      <c r="M92" s="59"/>
      <c r="N92" s="59"/>
      <c r="O92" s="59"/>
      <c r="P92" s="59"/>
      <c r="Q92" s="59"/>
      <c r="R92" s="59"/>
      <c r="S92" s="59"/>
      <c r="T92" s="59"/>
      <c r="U92" s="59"/>
      <c r="V92" s="59"/>
    </row>
    <row r="93" spans="1:22" x14ac:dyDescent="0.2">
      <c r="A93" s="59"/>
      <c r="B93" s="59"/>
      <c r="C93" s="59"/>
      <c r="D93" s="59"/>
      <c r="E93" s="59"/>
      <c r="F93" s="59"/>
      <c r="G93" s="59"/>
      <c r="H93" s="59"/>
      <c r="I93" s="59"/>
      <c r="J93" s="59"/>
      <c r="K93" s="59"/>
      <c r="L93" s="59"/>
      <c r="M93" s="59"/>
      <c r="N93" s="59"/>
      <c r="O93" s="59"/>
      <c r="P93" s="59"/>
      <c r="Q93" s="59"/>
      <c r="R93" s="59"/>
      <c r="S93" s="59"/>
      <c r="T93" s="59"/>
      <c r="U93" s="59"/>
      <c r="V93" s="59"/>
    </row>
    <row r="94" spans="1:22" x14ac:dyDescent="0.2">
      <c r="A94" s="59"/>
      <c r="B94" s="59"/>
      <c r="C94" s="59"/>
      <c r="D94" s="59"/>
      <c r="E94" s="59"/>
      <c r="F94" s="59"/>
      <c r="G94" s="59"/>
      <c r="H94" s="59"/>
      <c r="I94" s="59"/>
      <c r="J94" s="59"/>
      <c r="K94" s="59"/>
      <c r="L94" s="59"/>
      <c r="M94" s="59"/>
      <c r="N94" s="59"/>
      <c r="O94" s="59"/>
      <c r="P94" s="59"/>
      <c r="Q94" s="59"/>
      <c r="R94" s="59"/>
      <c r="S94" s="59"/>
      <c r="T94" s="59"/>
      <c r="U94" s="59"/>
      <c r="V94" s="59"/>
    </row>
    <row r="95" spans="1:22" x14ac:dyDescent="0.2">
      <c r="A95" s="59"/>
      <c r="B95" s="59"/>
      <c r="C95" s="59"/>
      <c r="D95" s="59"/>
      <c r="E95" s="59"/>
      <c r="F95" s="59"/>
      <c r="G95" s="59"/>
      <c r="H95" s="59"/>
      <c r="I95" s="59"/>
      <c r="J95" s="59"/>
      <c r="K95" s="59"/>
      <c r="L95" s="59"/>
      <c r="M95" s="59"/>
      <c r="N95" s="59"/>
      <c r="O95" s="59"/>
      <c r="P95" s="59"/>
      <c r="Q95" s="59"/>
      <c r="R95" s="59"/>
      <c r="S95" s="59"/>
      <c r="T95" s="59"/>
      <c r="U95" s="59"/>
      <c r="V95" s="59"/>
    </row>
    <row r="96" spans="1:22" x14ac:dyDescent="0.2">
      <c r="A96" s="59"/>
      <c r="B96" s="59"/>
      <c r="C96" s="59"/>
      <c r="D96" s="59"/>
      <c r="E96" s="59"/>
      <c r="F96" s="59"/>
      <c r="G96" s="59"/>
      <c r="H96" s="59"/>
      <c r="I96" s="59"/>
      <c r="J96" s="59"/>
      <c r="K96" s="59"/>
      <c r="L96" s="59"/>
      <c r="M96" s="59"/>
      <c r="N96" s="59"/>
      <c r="O96" s="59"/>
      <c r="P96" s="59"/>
      <c r="Q96" s="59"/>
      <c r="R96" s="59"/>
      <c r="S96" s="59"/>
      <c r="T96" s="59"/>
      <c r="U96" s="59"/>
      <c r="V96" s="59"/>
    </row>
    <row r="97" spans="1:22" x14ac:dyDescent="0.2">
      <c r="A97" s="59"/>
      <c r="B97" s="59"/>
      <c r="C97" s="59"/>
      <c r="D97" s="59"/>
      <c r="E97" s="59"/>
      <c r="F97" s="59"/>
      <c r="G97" s="59"/>
      <c r="H97" s="59"/>
      <c r="I97" s="59"/>
      <c r="J97" s="59"/>
      <c r="K97" s="59"/>
      <c r="L97" s="59"/>
      <c r="M97" s="59"/>
      <c r="N97" s="59"/>
      <c r="O97" s="59"/>
      <c r="P97" s="59"/>
      <c r="Q97" s="59"/>
      <c r="R97" s="59"/>
      <c r="S97" s="59"/>
      <c r="T97" s="59"/>
      <c r="U97" s="59"/>
      <c r="V97" s="59"/>
    </row>
    <row r="98" spans="1:22" x14ac:dyDescent="0.2">
      <c r="A98" s="59"/>
      <c r="B98" s="59"/>
      <c r="C98" s="59"/>
      <c r="D98" s="59"/>
      <c r="E98" s="59"/>
      <c r="F98" s="59"/>
      <c r="G98" s="59"/>
      <c r="H98" s="59"/>
      <c r="I98" s="59"/>
      <c r="J98" s="59"/>
      <c r="K98" s="59"/>
      <c r="L98" s="59"/>
      <c r="M98" s="59"/>
      <c r="N98" s="59"/>
      <c r="O98" s="59"/>
      <c r="P98" s="59"/>
      <c r="Q98" s="59"/>
      <c r="R98" s="59"/>
      <c r="S98" s="59"/>
      <c r="T98" s="59"/>
      <c r="U98" s="59"/>
      <c r="V98" s="59"/>
    </row>
    <row r="99" spans="1:22" x14ac:dyDescent="0.2">
      <c r="A99" s="59"/>
      <c r="B99" s="59"/>
      <c r="C99" s="59"/>
      <c r="D99" s="59"/>
      <c r="E99" s="59"/>
      <c r="F99" s="59"/>
      <c r="G99" s="59"/>
      <c r="H99" s="59"/>
      <c r="I99" s="59"/>
      <c r="J99" s="59"/>
      <c r="K99" s="59"/>
      <c r="L99" s="59"/>
      <c r="M99" s="59"/>
      <c r="N99" s="59"/>
      <c r="O99" s="59"/>
      <c r="P99" s="59"/>
      <c r="Q99" s="59"/>
      <c r="R99" s="59"/>
      <c r="S99" s="59"/>
      <c r="T99" s="59"/>
      <c r="U99" s="59"/>
      <c r="V99" s="59"/>
    </row>
    <row r="100" spans="1:22" x14ac:dyDescent="0.2">
      <c r="A100" s="59"/>
      <c r="B100" s="59"/>
      <c r="C100" s="59"/>
      <c r="D100" s="59"/>
      <c r="E100" s="59"/>
      <c r="F100" s="59"/>
      <c r="G100" s="59"/>
      <c r="H100" s="59"/>
      <c r="I100" s="59"/>
      <c r="J100" s="59"/>
      <c r="K100" s="59"/>
      <c r="L100" s="59"/>
      <c r="M100" s="59"/>
      <c r="N100" s="59"/>
      <c r="O100" s="59"/>
      <c r="P100" s="59"/>
      <c r="Q100" s="59"/>
      <c r="R100" s="59"/>
      <c r="S100" s="59"/>
      <c r="T100" s="59"/>
      <c r="U100" s="59"/>
      <c r="V100" s="59"/>
    </row>
    <row r="101" spans="1:22" x14ac:dyDescent="0.2">
      <c r="A101" s="59"/>
      <c r="B101" s="59"/>
      <c r="C101" s="59"/>
      <c r="D101" s="59"/>
      <c r="E101" s="59"/>
      <c r="F101" s="59"/>
      <c r="G101" s="59"/>
      <c r="H101" s="59"/>
      <c r="I101" s="59"/>
      <c r="J101" s="59"/>
      <c r="K101" s="59"/>
      <c r="L101" s="59"/>
      <c r="M101" s="59"/>
      <c r="N101" s="59"/>
      <c r="O101" s="59"/>
      <c r="P101" s="59"/>
      <c r="Q101" s="59"/>
      <c r="R101" s="59"/>
      <c r="S101" s="59"/>
      <c r="T101" s="59"/>
      <c r="U101" s="59"/>
      <c r="V101" s="59"/>
    </row>
    <row r="102" spans="1:22" x14ac:dyDescent="0.2">
      <c r="A102" s="59"/>
      <c r="B102" s="59"/>
      <c r="C102" s="59"/>
      <c r="D102" s="59"/>
      <c r="E102" s="59"/>
      <c r="F102" s="59"/>
      <c r="G102" s="59"/>
      <c r="H102" s="59"/>
      <c r="I102" s="59"/>
      <c r="J102" s="59"/>
      <c r="K102" s="59"/>
      <c r="L102" s="59"/>
      <c r="M102" s="59"/>
      <c r="N102" s="59"/>
      <c r="O102" s="59"/>
      <c r="P102" s="59"/>
      <c r="Q102" s="59"/>
      <c r="R102" s="59"/>
      <c r="S102" s="59"/>
      <c r="T102" s="59"/>
      <c r="U102" s="59"/>
      <c r="V102" s="59"/>
    </row>
    <row r="103" spans="1:22" x14ac:dyDescent="0.2">
      <c r="A103" s="59"/>
      <c r="B103" s="59"/>
      <c r="C103" s="59"/>
      <c r="D103" s="59"/>
      <c r="E103" s="59"/>
      <c r="F103" s="59"/>
      <c r="G103" s="59"/>
      <c r="H103" s="59"/>
      <c r="I103" s="59"/>
      <c r="J103" s="59"/>
      <c r="K103" s="59"/>
      <c r="L103" s="59"/>
      <c r="M103" s="59"/>
      <c r="N103" s="59"/>
      <c r="O103" s="59"/>
      <c r="P103" s="59"/>
      <c r="Q103" s="59"/>
      <c r="R103" s="59"/>
      <c r="S103" s="59"/>
      <c r="T103" s="59"/>
      <c r="U103" s="59"/>
      <c r="V103" s="59"/>
    </row>
  </sheetData>
  <sheetProtection algorithmName="SHA-512" hashValue="GCR2ej3Uw0M9aPcAD5G0JHwPH51jroD+Z24kb5SyDno1vZbdudRIC9N0B//3FEzKiD+ShdMgqrSL4DhuO+IGGg==" saltValue="qOzBdaPEINlS+eenKiuE0A==" spinCount="100000" sheet="1" objects="1" scenarios="1"/>
  <protectedRanges>
    <protectedRange sqref="F5:F19" name="Bereich1"/>
    <protectedRange sqref="A32:E37" name="Bereich2"/>
  </protectedRanges>
  <customSheetViews>
    <customSheetView guid="{8595FB22-684A-40C6-BCB3-CF11C69F4546}" fitToPage="1" showRuler="0">
      <selection activeCell="N23" sqref="N23"/>
      <pageMargins left="0" right="0" top="0" bottom="0" header="0" footer="0"/>
      <pageSetup paperSize="9" scale="79" orientation="landscape" r:id="rId1"/>
      <headerFooter alignWithMargins="0"/>
    </customSheetView>
  </customSheetViews>
  <mergeCells count="49">
    <mergeCell ref="A1:F1"/>
    <mergeCell ref="F38:F39"/>
    <mergeCell ref="F30:F31"/>
    <mergeCell ref="A34:C34"/>
    <mergeCell ref="A35:C35"/>
    <mergeCell ref="A36:C36"/>
    <mergeCell ref="A37:C37"/>
    <mergeCell ref="A32:C32"/>
    <mergeCell ref="A33:C33"/>
    <mergeCell ref="A16:E16"/>
    <mergeCell ref="A27:B29"/>
    <mergeCell ref="A23:E23"/>
    <mergeCell ref="A8:E8"/>
    <mergeCell ref="A10:E10"/>
    <mergeCell ref="A11:E11"/>
    <mergeCell ref="A2:F2"/>
    <mergeCell ref="H13:J13"/>
    <mergeCell ref="H16:K21"/>
    <mergeCell ref="A13:E13"/>
    <mergeCell ref="A14:E14"/>
    <mergeCell ref="A15:E15"/>
    <mergeCell ref="A42:E43"/>
    <mergeCell ref="F42:F43"/>
    <mergeCell ref="A17:E17"/>
    <mergeCell ref="A18:E18"/>
    <mergeCell ref="A19:E19"/>
    <mergeCell ref="A38:C39"/>
    <mergeCell ref="D38:E39"/>
    <mergeCell ref="A20:E21"/>
    <mergeCell ref="A26:F26"/>
    <mergeCell ref="D30:D31"/>
    <mergeCell ref="F20:F21"/>
    <mergeCell ref="E30:E31"/>
    <mergeCell ref="A30:C31"/>
    <mergeCell ref="A9:E9"/>
    <mergeCell ref="K11:K12"/>
    <mergeCell ref="L11:L12"/>
    <mergeCell ref="A12:E12"/>
    <mergeCell ref="H3:M3"/>
    <mergeCell ref="H4:L5"/>
    <mergeCell ref="H6:L6"/>
    <mergeCell ref="M4:M5"/>
    <mergeCell ref="M11:M12"/>
    <mergeCell ref="A3:E4"/>
    <mergeCell ref="F3:F4"/>
    <mergeCell ref="A5:E5"/>
    <mergeCell ref="A6:E6"/>
    <mergeCell ref="H11:J12"/>
    <mergeCell ref="A7:E7"/>
  </mergeCells>
  <phoneticPr fontId="3" type="noConversion"/>
  <pageMargins left="0.39370078740157483" right="0.39370078740157483" top="0.78740157480314965" bottom="0.39370078740157483" header="0.51181102362204722" footer="0.11811023622047245"/>
  <pageSetup paperSize="9" orientation="portrait" r:id="rId2"/>
  <headerFooter alignWithMargins="0">
    <oddFooter>&amp;C&amp;"Arial,Fett"Stand: April 2025</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3"/>
  <dimension ref="A1"/>
  <sheetViews>
    <sheetView workbookViewId="0">
      <selection activeCell="G14" sqref="G14"/>
    </sheetView>
  </sheetViews>
  <sheetFormatPr baseColWidth="10" defaultColWidth="11.42578125" defaultRowHeight="12.75" x14ac:dyDescent="0.2"/>
  <sheetData/>
  <pageMargins left="0.7" right="0.7" top="0.78740157499999996" bottom="0.78740157499999996"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4"/>
  <dimension ref="A1"/>
  <sheetViews>
    <sheetView workbookViewId="0">
      <selection activeCell="A43" sqref="A43:E44"/>
    </sheetView>
  </sheetViews>
  <sheetFormatPr baseColWidth="10" defaultColWidth="11.42578125" defaultRowHeight="12.75" x14ac:dyDescent="0.2"/>
  <sheetData/>
  <pageMargins left="0.7" right="0.7" top="0.78740157499999996" bottom="0.78740157499999996"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7">
    <tabColor indexed="47"/>
    <pageSetUpPr fitToPage="1"/>
  </sheetPr>
  <dimension ref="A1:Z81"/>
  <sheetViews>
    <sheetView zoomScaleNormal="100" workbookViewId="0">
      <selection activeCell="O3" sqref="O3"/>
    </sheetView>
  </sheetViews>
  <sheetFormatPr baseColWidth="10" defaultColWidth="11.42578125" defaultRowHeight="12.75" x14ac:dyDescent="0.2"/>
  <cols>
    <col min="1" max="4" width="11.42578125" style="12"/>
    <col min="5" max="5" width="13.7109375" style="12" customWidth="1"/>
    <col min="6" max="9" width="11.42578125" style="12"/>
    <col min="10" max="10" width="11.42578125" style="51"/>
    <col min="11" max="13" width="11.42578125" style="12"/>
    <col min="14" max="14" width="14.7109375" style="12" customWidth="1"/>
    <col min="15" max="16384" width="11.42578125" style="12"/>
  </cols>
  <sheetData>
    <row r="1" spans="1:22" ht="16.5" x14ac:dyDescent="0.25">
      <c r="A1" s="968" t="s">
        <v>416</v>
      </c>
      <c r="B1" s="969"/>
      <c r="C1" s="969"/>
      <c r="D1" s="969"/>
      <c r="E1" s="969"/>
      <c r="F1" s="969"/>
      <c r="G1" s="969"/>
      <c r="H1" s="969"/>
      <c r="I1" s="970"/>
      <c r="J1" s="96"/>
      <c r="K1" s="977" t="s">
        <v>417</v>
      </c>
      <c r="L1" s="978"/>
      <c r="M1" s="979"/>
      <c r="N1" s="966">
        <f>H11+H13+H15+H17+H21</f>
        <v>0</v>
      </c>
      <c r="O1" s="59"/>
      <c r="P1" s="59"/>
      <c r="Q1" s="59"/>
      <c r="R1" s="59"/>
    </row>
    <row r="2" spans="1:22" ht="15.75" customHeight="1" thickBot="1" x14ac:dyDescent="0.3">
      <c r="A2" s="971" t="s">
        <v>273</v>
      </c>
      <c r="B2" s="972"/>
      <c r="C2" s="972"/>
      <c r="D2" s="972"/>
      <c r="E2" s="972"/>
      <c r="F2" s="972"/>
      <c r="G2" s="972"/>
      <c r="H2" s="972"/>
      <c r="I2" s="973"/>
      <c r="J2" s="447" t="s">
        <v>418</v>
      </c>
      <c r="K2" s="980"/>
      <c r="L2" s="981"/>
      <c r="M2" s="982"/>
      <c r="N2" s="967"/>
      <c r="O2" s="59"/>
      <c r="P2" s="59"/>
      <c r="Q2" s="59"/>
      <c r="R2" s="59"/>
    </row>
    <row r="3" spans="1:22" s="70" customFormat="1" ht="21" customHeight="1" thickBot="1" x14ac:dyDescent="0.25">
      <c r="A3" s="974" t="s">
        <v>419</v>
      </c>
      <c r="B3" s="975"/>
      <c r="C3" s="975"/>
      <c r="D3" s="975"/>
      <c r="E3" s="975"/>
      <c r="F3" s="975"/>
      <c r="G3" s="975"/>
      <c r="H3" s="975"/>
      <c r="I3" s="976"/>
      <c r="J3" s="447"/>
      <c r="K3" s="348" t="s">
        <v>420</v>
      </c>
      <c r="L3" s="124"/>
      <c r="M3" s="124"/>
      <c r="N3" s="347"/>
      <c r="O3" s="135"/>
      <c r="P3" s="135"/>
      <c r="Q3" s="135"/>
      <c r="R3" s="135"/>
      <c r="S3" s="481"/>
      <c r="T3" s="481"/>
      <c r="U3" s="481"/>
      <c r="V3" s="481"/>
    </row>
    <row r="4" spans="1:22" ht="12.75" customHeight="1" x14ac:dyDescent="0.2">
      <c r="A4" s="891" t="s">
        <v>421</v>
      </c>
      <c r="B4" s="892"/>
      <c r="C4" s="892"/>
      <c r="D4" s="892"/>
      <c r="E4" s="893"/>
      <c r="F4" s="915" t="s">
        <v>273</v>
      </c>
      <c r="G4" s="916"/>
      <c r="H4" s="913">
        <f>Personalkosten!J50</f>
        <v>0</v>
      </c>
      <c r="I4" s="919"/>
      <c r="J4" s="877">
        <v>873</v>
      </c>
      <c r="K4" s="317" t="s">
        <v>422</v>
      </c>
      <c r="L4" s="59"/>
      <c r="M4" s="59"/>
      <c r="N4" s="101"/>
      <c r="O4" s="59"/>
      <c r="P4" s="59"/>
      <c r="Q4" s="59"/>
      <c r="R4" s="59"/>
    </row>
    <row r="5" spans="1:22" ht="16.5" customHeight="1" thickBot="1" x14ac:dyDescent="0.25">
      <c r="A5" s="894"/>
      <c r="B5" s="895"/>
      <c r="C5" s="895"/>
      <c r="D5" s="895"/>
      <c r="E5" s="896"/>
      <c r="F5" s="928"/>
      <c r="G5" s="929"/>
      <c r="H5" s="920"/>
      <c r="I5" s="921"/>
      <c r="J5" s="878">
        <v>873</v>
      </c>
      <c r="K5" s="317" t="s">
        <v>423</v>
      </c>
      <c r="L5" s="59"/>
      <c r="M5" s="59"/>
      <c r="N5" s="101"/>
      <c r="O5" s="59"/>
      <c r="P5" s="59"/>
      <c r="Q5" s="59"/>
      <c r="R5" s="59"/>
    </row>
    <row r="6" spans="1:22" ht="33" customHeight="1" thickBot="1" x14ac:dyDescent="0.25">
      <c r="A6" s="886" t="s">
        <v>424</v>
      </c>
      <c r="B6" s="983"/>
      <c r="C6" s="983"/>
      <c r="D6" s="983"/>
      <c r="E6" s="984"/>
      <c r="F6" s="985" t="s">
        <v>273</v>
      </c>
      <c r="G6" s="986"/>
      <c r="H6" s="908">
        <f>Personalkosten!L50</f>
        <v>0</v>
      </c>
      <c r="I6" s="987"/>
      <c r="J6" s="448">
        <v>874</v>
      </c>
      <c r="K6" s="346" t="s">
        <v>425</v>
      </c>
      <c r="L6" s="124"/>
      <c r="M6" s="124"/>
      <c r="N6" s="347"/>
      <c r="O6" s="59"/>
      <c r="P6" s="59"/>
      <c r="Q6" s="59"/>
      <c r="R6" s="59"/>
    </row>
    <row r="7" spans="1:22" ht="13.5" customHeight="1" x14ac:dyDescent="0.2">
      <c r="A7" s="949" t="s">
        <v>426</v>
      </c>
      <c r="B7" s="988"/>
      <c r="C7" s="988"/>
      <c r="D7" s="988"/>
      <c r="E7" s="989"/>
      <c r="F7" s="915" t="s">
        <v>273</v>
      </c>
      <c r="G7" s="916"/>
      <c r="H7" s="913">
        <f>Personalkosten!N50</f>
        <v>0</v>
      </c>
      <c r="I7" s="919"/>
      <c r="J7" s="877" t="s">
        <v>135</v>
      </c>
      <c r="K7" s="318" t="s">
        <v>427</v>
      </c>
      <c r="L7" s="104"/>
      <c r="M7" s="104"/>
      <c r="N7" s="105"/>
      <c r="O7" s="59"/>
      <c r="P7" s="59"/>
      <c r="Q7" s="59"/>
      <c r="R7" s="59"/>
    </row>
    <row r="8" spans="1:22" ht="22.5" customHeight="1" thickBot="1" x14ac:dyDescent="0.25">
      <c r="A8" s="990"/>
      <c r="B8" s="991"/>
      <c r="C8" s="991"/>
      <c r="D8" s="991"/>
      <c r="E8" s="992"/>
      <c r="F8" s="928"/>
      <c r="G8" s="929"/>
      <c r="H8" s="920"/>
      <c r="I8" s="921"/>
      <c r="J8" s="878"/>
      <c r="K8" s="59"/>
      <c r="L8" s="59"/>
      <c r="M8" s="59"/>
      <c r="N8" s="59"/>
      <c r="O8" s="59"/>
      <c r="P8" s="59"/>
      <c r="Q8" s="59"/>
      <c r="R8" s="59"/>
    </row>
    <row r="9" spans="1:22" ht="13.5" customHeight="1" x14ac:dyDescent="0.2">
      <c r="A9" s="952" t="s">
        <v>428</v>
      </c>
      <c r="B9" s="953"/>
      <c r="C9" s="953"/>
      <c r="D9" s="953"/>
      <c r="E9" s="954"/>
      <c r="F9" s="958" t="s">
        <v>273</v>
      </c>
      <c r="G9" s="959"/>
      <c r="H9" s="962">
        <f>Personalkosten!J54</f>
        <v>0</v>
      </c>
      <c r="I9" s="963"/>
      <c r="J9" s="877">
        <v>830</v>
      </c>
      <c r="K9" s="874" t="s">
        <v>459</v>
      </c>
      <c r="L9" s="874"/>
      <c r="M9" s="874"/>
      <c r="N9" s="874"/>
      <c r="O9" s="59"/>
      <c r="P9" s="59"/>
      <c r="Q9" s="59"/>
      <c r="R9" s="59"/>
    </row>
    <row r="10" spans="1:22" ht="19.5" customHeight="1" thickBot="1" x14ac:dyDescent="0.25">
      <c r="A10" s="955"/>
      <c r="B10" s="956"/>
      <c r="C10" s="956"/>
      <c r="D10" s="956"/>
      <c r="E10" s="957"/>
      <c r="F10" s="960"/>
      <c r="G10" s="961"/>
      <c r="H10" s="964"/>
      <c r="I10" s="965"/>
      <c r="J10" s="878"/>
      <c r="K10" s="874"/>
      <c r="L10" s="874"/>
      <c r="M10" s="874"/>
      <c r="N10" s="874"/>
      <c r="O10" s="59"/>
      <c r="P10" s="59"/>
      <c r="Q10" s="59"/>
      <c r="R10" s="59"/>
    </row>
    <row r="11" spans="1:22" x14ac:dyDescent="0.2">
      <c r="A11" s="891" t="s">
        <v>307</v>
      </c>
      <c r="B11" s="892"/>
      <c r="C11" s="892"/>
      <c r="D11" s="892"/>
      <c r="E11" s="893"/>
      <c r="F11" s="915" t="s">
        <v>273</v>
      </c>
      <c r="G11" s="916"/>
      <c r="H11" s="913">
        <f>Gerätenutzungskosten!I25</f>
        <v>0</v>
      </c>
      <c r="I11" s="919"/>
      <c r="J11" s="877">
        <v>950</v>
      </c>
      <c r="K11" s="59"/>
      <c r="L11" s="59"/>
      <c r="M11" s="59"/>
      <c r="N11" s="59"/>
      <c r="O11" s="59"/>
      <c r="P11" s="59"/>
      <c r="Q11" s="59"/>
      <c r="R11" s="59"/>
      <c r="S11" s="59"/>
      <c r="T11" s="59"/>
      <c r="U11" s="59"/>
      <c r="V11" s="59"/>
    </row>
    <row r="12" spans="1:22" ht="19.5" customHeight="1" thickBot="1" x14ac:dyDescent="0.25">
      <c r="A12" s="894"/>
      <c r="B12" s="895"/>
      <c r="C12" s="895"/>
      <c r="D12" s="895"/>
      <c r="E12" s="896"/>
      <c r="F12" s="928"/>
      <c r="G12" s="929"/>
      <c r="H12" s="920"/>
      <c r="I12" s="921"/>
      <c r="J12" s="878"/>
      <c r="K12" s="293"/>
      <c r="L12" s="294"/>
      <c r="M12" s="294"/>
      <c r="N12" s="294"/>
      <c r="O12" s="482"/>
      <c r="P12" s="482"/>
      <c r="Q12" s="482"/>
      <c r="R12" s="59"/>
      <c r="S12" s="59"/>
      <c r="T12" s="59"/>
      <c r="U12" s="59"/>
      <c r="V12" s="59"/>
    </row>
    <row r="13" spans="1:22" x14ac:dyDescent="0.2">
      <c r="A13" s="891" t="s">
        <v>429</v>
      </c>
      <c r="B13" s="892"/>
      <c r="C13" s="892"/>
      <c r="D13" s="892"/>
      <c r="E13" s="893"/>
      <c r="F13" s="915" t="s">
        <v>273</v>
      </c>
      <c r="G13" s="916"/>
      <c r="H13" s="913">
        <f>Materialkosten!G28</f>
        <v>0</v>
      </c>
      <c r="I13" s="919"/>
      <c r="J13" s="877">
        <v>943</v>
      </c>
      <c r="K13" s="59"/>
      <c r="L13" s="59"/>
      <c r="M13" s="59"/>
      <c r="N13" s="59"/>
      <c r="O13" s="482"/>
      <c r="P13" s="482"/>
      <c r="Q13" s="482"/>
      <c r="R13" s="59"/>
      <c r="S13" s="59"/>
      <c r="T13" s="59"/>
      <c r="U13" s="59"/>
      <c r="V13" s="59"/>
    </row>
    <row r="14" spans="1:22" ht="17.25" customHeight="1" thickBot="1" x14ac:dyDescent="0.25">
      <c r="A14" s="894"/>
      <c r="B14" s="895"/>
      <c r="C14" s="895"/>
      <c r="D14" s="895"/>
      <c r="E14" s="896"/>
      <c r="F14" s="928"/>
      <c r="G14" s="929"/>
      <c r="H14" s="920"/>
      <c r="I14" s="921"/>
      <c r="J14" s="878"/>
      <c r="K14" s="59"/>
      <c r="L14" s="59"/>
      <c r="M14" s="59"/>
      <c r="N14" s="59"/>
      <c r="O14" s="59"/>
      <c r="P14" s="59"/>
      <c r="Q14" s="59"/>
      <c r="R14" s="59"/>
      <c r="S14" s="59"/>
      <c r="T14" s="59"/>
      <c r="U14" s="59"/>
      <c r="V14" s="59"/>
    </row>
    <row r="15" spans="1:22" ht="13.5" customHeight="1" x14ac:dyDescent="0.2">
      <c r="A15" s="891" t="s">
        <v>430</v>
      </c>
      <c r="B15" s="892"/>
      <c r="C15" s="892"/>
      <c r="D15" s="892"/>
      <c r="E15" s="893"/>
      <c r="F15" s="915" t="s">
        <v>273</v>
      </c>
      <c r="G15" s="916"/>
      <c r="H15" s="913">
        <f>Materialkosten!G31</f>
        <v>0</v>
      </c>
      <c r="I15" s="919"/>
      <c r="J15" s="877">
        <v>944</v>
      </c>
      <c r="K15" s="59"/>
      <c r="L15" s="59"/>
      <c r="M15" s="59"/>
      <c r="N15" s="59"/>
      <c r="O15" s="294"/>
      <c r="P15" s="294"/>
      <c r="Q15" s="294"/>
      <c r="R15" s="59"/>
      <c r="S15" s="59"/>
      <c r="T15" s="59"/>
      <c r="U15" s="59"/>
      <c r="V15" s="59"/>
    </row>
    <row r="16" spans="1:22" ht="21" customHeight="1" thickBot="1" x14ac:dyDescent="0.25">
      <c r="A16" s="894"/>
      <c r="B16" s="895"/>
      <c r="C16" s="895"/>
      <c r="D16" s="895"/>
      <c r="E16" s="896"/>
      <c r="F16" s="928"/>
      <c r="G16" s="929"/>
      <c r="H16" s="920"/>
      <c r="I16" s="921"/>
      <c r="J16" s="878"/>
      <c r="K16" s="59"/>
      <c r="L16" s="59"/>
      <c r="M16" s="59"/>
      <c r="N16" s="59"/>
      <c r="O16" s="294"/>
      <c r="P16" s="294"/>
      <c r="Q16" s="294"/>
      <c r="R16" s="59"/>
      <c r="S16" s="59"/>
      <c r="T16" s="59"/>
      <c r="U16" s="59"/>
      <c r="V16" s="59"/>
    </row>
    <row r="17" spans="1:22" x14ac:dyDescent="0.2">
      <c r="A17" s="891" t="s">
        <v>431</v>
      </c>
      <c r="B17" s="892"/>
      <c r="C17" s="892"/>
      <c r="D17" s="892"/>
      <c r="E17" s="893"/>
      <c r="F17" s="915" t="s">
        <v>273</v>
      </c>
      <c r="G17" s="916"/>
      <c r="H17" s="913">
        <f>Fremdleistungskosten!G28</f>
        <v>0</v>
      </c>
      <c r="I17" s="919"/>
      <c r="J17" s="877">
        <v>933</v>
      </c>
      <c r="K17" s="59"/>
      <c r="L17" s="59"/>
      <c r="M17" s="59"/>
      <c r="N17" s="59"/>
      <c r="O17" s="59"/>
      <c r="P17" s="59"/>
      <c r="Q17" s="59"/>
      <c r="R17" s="59"/>
      <c r="S17" s="59"/>
      <c r="T17" s="59"/>
      <c r="U17" s="59"/>
      <c r="V17" s="59"/>
    </row>
    <row r="18" spans="1:22" ht="18.75" customHeight="1" thickBot="1" x14ac:dyDescent="0.25">
      <c r="A18" s="894"/>
      <c r="B18" s="895"/>
      <c r="C18" s="895"/>
      <c r="D18" s="895"/>
      <c r="E18" s="896"/>
      <c r="F18" s="928"/>
      <c r="G18" s="929"/>
      <c r="H18" s="920"/>
      <c r="I18" s="921"/>
      <c r="J18" s="878"/>
      <c r="K18" s="59"/>
      <c r="L18" s="59"/>
      <c r="M18" s="59"/>
      <c r="N18" s="59"/>
      <c r="O18" s="59"/>
      <c r="P18" s="59"/>
      <c r="Q18" s="59"/>
      <c r="R18" s="59"/>
      <c r="S18" s="59"/>
      <c r="T18" s="59"/>
      <c r="U18" s="59"/>
      <c r="V18" s="59"/>
    </row>
    <row r="19" spans="1:22" ht="13.5" customHeight="1" x14ac:dyDescent="0.2">
      <c r="A19" s="891" t="s">
        <v>381</v>
      </c>
      <c r="B19" s="892"/>
      <c r="C19" s="892"/>
      <c r="D19" s="892"/>
      <c r="E19" s="893"/>
      <c r="F19" s="915" t="s">
        <v>273</v>
      </c>
      <c r="G19" s="916"/>
      <c r="H19" s="913">
        <f>'sonstige direkt zurechenbare Ko'!F23</f>
        <v>0</v>
      </c>
      <c r="I19" s="919"/>
      <c r="J19" s="877">
        <v>846</v>
      </c>
      <c r="K19" s="59"/>
      <c r="L19" s="59"/>
      <c r="M19" s="59"/>
      <c r="N19" s="59"/>
      <c r="O19" s="59"/>
      <c r="P19" s="59"/>
      <c r="Q19" s="59"/>
      <c r="R19" s="59"/>
      <c r="S19" s="59"/>
      <c r="T19" s="59"/>
      <c r="U19" s="59"/>
      <c r="V19" s="59"/>
    </row>
    <row r="20" spans="1:22" ht="17.25" customHeight="1" thickBot="1" x14ac:dyDescent="0.25">
      <c r="A20" s="894"/>
      <c r="B20" s="895"/>
      <c r="C20" s="895"/>
      <c r="D20" s="895"/>
      <c r="E20" s="896"/>
      <c r="F20" s="928"/>
      <c r="G20" s="929"/>
      <c r="H20" s="920"/>
      <c r="I20" s="921"/>
      <c r="J20" s="878"/>
      <c r="K20" s="59"/>
      <c r="L20" s="59"/>
      <c r="M20" s="59"/>
      <c r="N20" s="59"/>
      <c r="O20" s="59"/>
      <c r="P20" s="59"/>
      <c r="Q20" s="59"/>
      <c r="R20" s="59"/>
      <c r="S20" s="59"/>
      <c r="T20" s="59"/>
      <c r="U20" s="59"/>
      <c r="V20" s="59"/>
    </row>
    <row r="21" spans="1:22" x14ac:dyDescent="0.2">
      <c r="A21" s="891" t="s">
        <v>432</v>
      </c>
      <c r="B21" s="892"/>
      <c r="C21" s="892"/>
      <c r="D21" s="892"/>
      <c r="E21" s="893"/>
      <c r="F21" s="915" t="s">
        <v>273</v>
      </c>
      <c r="G21" s="916"/>
      <c r="H21" s="913">
        <f>'sonstige direkt zurechenbare Ko'!F42</f>
        <v>0</v>
      </c>
      <c r="I21" s="919"/>
      <c r="J21" s="877">
        <v>945</v>
      </c>
      <c r="K21" s="59"/>
      <c r="L21" s="59"/>
      <c r="M21" s="59"/>
      <c r="N21" s="59"/>
      <c r="O21" s="59"/>
      <c r="P21" s="59"/>
      <c r="Q21" s="59"/>
      <c r="R21" s="59"/>
      <c r="S21" s="59"/>
      <c r="T21" s="59"/>
      <c r="U21" s="59"/>
      <c r="V21" s="59"/>
    </row>
    <row r="22" spans="1:22" ht="18" customHeight="1" thickBot="1" x14ac:dyDescent="0.25">
      <c r="A22" s="894"/>
      <c r="B22" s="895"/>
      <c r="C22" s="895"/>
      <c r="D22" s="895"/>
      <c r="E22" s="896"/>
      <c r="F22" s="928"/>
      <c r="G22" s="929"/>
      <c r="H22" s="920"/>
      <c r="I22" s="921"/>
      <c r="J22" s="878"/>
      <c r="K22" s="59"/>
      <c r="L22" s="59"/>
      <c r="M22" s="59"/>
      <c r="N22" s="59"/>
      <c r="O22" s="59"/>
      <c r="P22" s="59"/>
      <c r="Q22" s="59"/>
      <c r="R22" s="59"/>
      <c r="S22" s="59"/>
      <c r="T22" s="59"/>
      <c r="U22" s="59"/>
      <c r="V22" s="59"/>
    </row>
    <row r="23" spans="1:22" ht="13.5" customHeight="1" thickBot="1" x14ac:dyDescent="0.25">
      <c r="A23" s="211"/>
      <c r="B23" s="212"/>
      <c r="C23" s="212"/>
      <c r="D23" s="212"/>
      <c r="E23" s="212"/>
      <c r="F23" s="208"/>
      <c r="G23" s="208"/>
      <c r="H23" s="213"/>
      <c r="I23" s="214"/>
      <c r="J23" s="96"/>
      <c r="K23" s="59"/>
      <c r="L23" s="59"/>
      <c r="M23" s="59"/>
      <c r="N23" s="59"/>
      <c r="O23" s="59"/>
      <c r="P23" s="59"/>
      <c r="Q23" s="59"/>
      <c r="R23" s="59"/>
      <c r="S23" s="59"/>
      <c r="T23" s="59"/>
      <c r="U23" s="59"/>
      <c r="V23" s="59"/>
    </row>
    <row r="24" spans="1:22" ht="15.75" customHeight="1" x14ac:dyDescent="0.2">
      <c r="A24" s="922" t="s">
        <v>433</v>
      </c>
      <c r="B24" s="923"/>
      <c r="C24" s="923"/>
      <c r="D24" s="923"/>
      <c r="E24" s="924"/>
      <c r="F24" s="915" t="s">
        <v>273</v>
      </c>
      <c r="G24" s="916"/>
      <c r="H24" s="913">
        <f>H4+H7+H6+H9+H11+H13+H17+H21+H15+H19</f>
        <v>0</v>
      </c>
      <c r="I24" s="919"/>
      <c r="J24" s="96"/>
      <c r="K24" s="59"/>
      <c r="L24" s="59"/>
      <c r="M24" s="59"/>
      <c r="N24" s="59"/>
      <c r="O24" s="59"/>
      <c r="P24" s="59"/>
      <c r="Q24" s="59"/>
      <c r="R24" s="59"/>
      <c r="S24" s="59"/>
      <c r="T24" s="59"/>
      <c r="U24" s="59"/>
      <c r="V24" s="59"/>
    </row>
    <row r="25" spans="1:22" ht="15.75" customHeight="1" thickBot="1" x14ac:dyDescent="0.25">
      <c r="A25" s="925"/>
      <c r="B25" s="926"/>
      <c r="C25" s="926"/>
      <c r="D25" s="926"/>
      <c r="E25" s="927"/>
      <c r="F25" s="928"/>
      <c r="G25" s="929"/>
      <c r="H25" s="920"/>
      <c r="I25" s="921"/>
      <c r="J25" s="96"/>
      <c r="K25" s="59"/>
      <c r="L25" s="59"/>
      <c r="M25" s="59"/>
      <c r="N25" s="59"/>
      <c r="O25" s="59"/>
      <c r="P25" s="59"/>
      <c r="Q25" s="59"/>
      <c r="R25" s="59"/>
      <c r="S25" s="59"/>
      <c r="T25" s="59"/>
      <c r="U25" s="59"/>
      <c r="V25" s="59"/>
    </row>
    <row r="26" spans="1:22" ht="15.75" customHeight="1" thickBot="1" x14ac:dyDescent="0.25">
      <c r="A26" s="211"/>
      <c r="B26" s="212"/>
      <c r="C26" s="212"/>
      <c r="D26" s="212"/>
      <c r="E26" s="212"/>
      <c r="F26" s="209"/>
      <c r="G26" s="209"/>
      <c r="H26" s="213"/>
      <c r="I26" s="218"/>
      <c r="J26" s="96"/>
      <c r="K26" s="104"/>
      <c r="L26" s="104"/>
      <c r="M26" s="104"/>
      <c r="N26" s="104"/>
      <c r="O26" s="59"/>
      <c r="P26" s="59"/>
      <c r="Q26" s="59"/>
      <c r="R26" s="59"/>
      <c r="S26" s="59"/>
      <c r="T26" s="59"/>
      <c r="U26" s="59"/>
      <c r="V26" s="59"/>
    </row>
    <row r="27" spans="1:22" ht="20.25" customHeight="1" thickBot="1" x14ac:dyDescent="0.25">
      <c r="A27" s="949" t="s">
        <v>434</v>
      </c>
      <c r="B27" s="892"/>
      <c r="C27" s="892"/>
      <c r="D27" s="892"/>
      <c r="E27" s="892"/>
      <c r="F27" s="947" t="s">
        <v>273</v>
      </c>
      <c r="G27" s="948"/>
      <c r="H27" s="913">
        <f>IF(F28="Ja",H24*0.05,0)</f>
        <v>0</v>
      </c>
      <c r="I27" s="919"/>
      <c r="J27" s="877">
        <v>960</v>
      </c>
      <c r="K27" s="538" t="s">
        <v>458</v>
      </c>
      <c r="L27" s="539"/>
      <c r="M27" s="539"/>
      <c r="N27" s="540"/>
      <c r="P27" s="59"/>
      <c r="Q27" s="59"/>
      <c r="R27" s="59"/>
      <c r="S27" s="59"/>
      <c r="T27" s="59"/>
      <c r="U27" s="59"/>
      <c r="V27" s="59"/>
    </row>
    <row r="28" spans="1:22" ht="23.25" customHeight="1" thickBot="1" x14ac:dyDescent="0.25">
      <c r="A28" s="894"/>
      <c r="B28" s="895"/>
      <c r="C28" s="895"/>
      <c r="D28" s="895"/>
      <c r="E28" s="896"/>
      <c r="F28" s="950"/>
      <c r="G28" s="951"/>
      <c r="H28" s="920"/>
      <c r="I28" s="921"/>
      <c r="J28" s="878"/>
      <c r="K28" s="541"/>
      <c r="L28" s="542"/>
      <c r="M28" s="542"/>
      <c r="N28" s="543"/>
      <c r="O28" s="59"/>
      <c r="P28" s="59"/>
      <c r="Q28" s="59"/>
      <c r="R28" s="59"/>
      <c r="S28" s="59"/>
      <c r="T28" s="59"/>
      <c r="U28" s="59"/>
      <c r="V28" s="59"/>
    </row>
    <row r="29" spans="1:22" ht="22.5" customHeight="1" thickBot="1" x14ac:dyDescent="0.25">
      <c r="A29" s="211" t="s">
        <v>435</v>
      </c>
      <c r="B29" s="215"/>
      <c r="C29" s="215"/>
      <c r="D29" s="215"/>
      <c r="E29" s="215"/>
      <c r="F29" s="947" t="s">
        <v>273</v>
      </c>
      <c r="G29" s="948"/>
      <c r="H29" s="932"/>
      <c r="I29" s="933"/>
      <c r="J29" s="84">
        <v>956</v>
      </c>
      <c r="K29" s="541"/>
      <c r="L29" s="542"/>
      <c r="M29" s="542"/>
      <c r="N29" s="543"/>
      <c r="O29" s="59"/>
      <c r="P29" s="59"/>
      <c r="Q29" s="59"/>
      <c r="R29" s="59"/>
      <c r="S29" s="59"/>
      <c r="T29" s="59"/>
      <c r="U29" s="59"/>
      <c r="V29" s="59"/>
    </row>
    <row r="30" spans="1:22" ht="15.75" customHeight="1" thickBot="1" x14ac:dyDescent="0.25">
      <c r="A30" s="211"/>
      <c r="B30" s="212"/>
      <c r="C30" s="212"/>
      <c r="D30" s="212"/>
      <c r="E30" s="212"/>
      <c r="F30" s="208"/>
      <c r="G30" s="208"/>
      <c r="H30" s="213"/>
      <c r="I30" s="218"/>
      <c r="J30" s="96"/>
      <c r="K30" s="544"/>
      <c r="L30" s="545"/>
      <c r="M30" s="545"/>
      <c r="N30" s="546"/>
      <c r="O30" s="59"/>
      <c r="P30" s="59"/>
      <c r="Q30" s="59"/>
      <c r="R30" s="59"/>
      <c r="S30" s="59"/>
      <c r="T30" s="59"/>
      <c r="U30" s="59"/>
      <c r="V30" s="59"/>
    </row>
    <row r="31" spans="1:22" ht="15.75" customHeight="1" x14ac:dyDescent="0.2">
      <c r="A31" s="922" t="s">
        <v>436</v>
      </c>
      <c r="B31" s="923"/>
      <c r="C31" s="923"/>
      <c r="D31" s="923"/>
      <c r="E31" s="924"/>
      <c r="F31" s="915" t="s">
        <v>273</v>
      </c>
      <c r="G31" s="916"/>
      <c r="H31" s="913">
        <f>H24+H27+H29</f>
        <v>0</v>
      </c>
      <c r="I31" s="919"/>
      <c r="J31" s="96"/>
      <c r="K31" s="59"/>
      <c r="L31" s="59"/>
      <c r="M31" s="59"/>
      <c r="N31" s="59"/>
      <c r="O31" s="59"/>
      <c r="P31" s="59"/>
      <c r="Q31" s="59"/>
      <c r="R31" s="59"/>
      <c r="S31" s="59"/>
      <c r="T31" s="59"/>
      <c r="U31" s="59"/>
      <c r="V31" s="59"/>
    </row>
    <row r="32" spans="1:22" ht="13.5" customHeight="1" thickBot="1" x14ac:dyDescent="0.25">
      <c r="A32" s="925"/>
      <c r="B32" s="926"/>
      <c r="C32" s="926"/>
      <c r="D32" s="926"/>
      <c r="E32" s="927"/>
      <c r="F32" s="928"/>
      <c r="G32" s="929"/>
      <c r="H32" s="920"/>
      <c r="I32" s="921"/>
      <c r="J32" s="96"/>
      <c r="K32" s="59"/>
      <c r="L32" s="59"/>
      <c r="M32" s="59"/>
      <c r="N32" s="59"/>
      <c r="O32" s="59"/>
      <c r="P32" s="59"/>
      <c r="Q32" s="59"/>
      <c r="R32" s="59"/>
      <c r="S32" s="59"/>
      <c r="T32" s="59"/>
      <c r="U32" s="59"/>
      <c r="V32" s="59"/>
    </row>
    <row r="33" spans="1:22" ht="35.65" customHeight="1" thickBot="1" x14ac:dyDescent="0.25">
      <c r="A33" s="891" t="s">
        <v>185</v>
      </c>
      <c r="B33" s="892"/>
      <c r="C33" s="892"/>
      <c r="D33" s="892"/>
      <c r="E33" s="893"/>
      <c r="F33" s="943"/>
      <c r="G33" s="944"/>
      <c r="H33" s="913">
        <f>H31*F33</f>
        <v>0</v>
      </c>
      <c r="I33" s="919"/>
      <c r="J33" s="875" t="s">
        <v>437</v>
      </c>
      <c r="K33" s="547" t="s">
        <v>186</v>
      </c>
      <c r="L33" s="548"/>
      <c r="M33" s="548"/>
      <c r="N33" s="549"/>
      <c r="O33" s="59"/>
      <c r="P33" s="59"/>
      <c r="Q33" s="59"/>
      <c r="R33" s="59"/>
      <c r="S33" s="59"/>
      <c r="T33" s="59"/>
      <c r="U33" s="59"/>
      <c r="V33" s="59"/>
    </row>
    <row r="34" spans="1:22" ht="35.65" customHeight="1" thickBot="1" x14ac:dyDescent="0.25">
      <c r="A34" s="936" t="s">
        <v>438</v>
      </c>
      <c r="B34" s="937"/>
      <c r="C34" s="938"/>
      <c r="D34" s="939">
        <v>0.2</v>
      </c>
      <c r="E34" s="940"/>
      <c r="F34" s="941">
        <f>H33*D34</f>
        <v>0</v>
      </c>
      <c r="G34" s="942"/>
      <c r="H34" s="945"/>
      <c r="I34" s="946"/>
      <c r="J34" s="876"/>
      <c r="K34" s="550"/>
      <c r="L34" s="551"/>
      <c r="M34" s="551"/>
      <c r="N34" s="552"/>
      <c r="O34" s="59"/>
      <c r="P34" s="59"/>
      <c r="Q34" s="59"/>
      <c r="R34" s="59"/>
      <c r="S34" s="59"/>
      <c r="T34" s="59"/>
      <c r="U34" s="59"/>
      <c r="V34" s="59"/>
    </row>
    <row r="35" spans="1:22" ht="29.25" customHeight="1" thickBot="1" x14ac:dyDescent="0.25">
      <c r="A35" s="239" t="s">
        <v>439</v>
      </c>
      <c r="B35" s="216"/>
      <c r="C35" s="210"/>
      <c r="D35" s="483"/>
      <c r="E35" s="210"/>
      <c r="F35" s="930" t="s">
        <v>273</v>
      </c>
      <c r="G35" s="931"/>
      <c r="H35" s="932"/>
      <c r="I35" s="933"/>
      <c r="J35" s="875" t="s">
        <v>440</v>
      </c>
      <c r="K35" s="550"/>
      <c r="L35" s="551"/>
      <c r="M35" s="551"/>
      <c r="N35" s="552"/>
      <c r="O35" s="59"/>
      <c r="P35" s="59"/>
      <c r="Q35" s="59"/>
      <c r="R35" s="59"/>
      <c r="S35" s="59"/>
      <c r="T35" s="59"/>
      <c r="U35" s="59"/>
      <c r="V35" s="59"/>
    </row>
    <row r="36" spans="1:22" ht="29.25" customHeight="1" thickBot="1" x14ac:dyDescent="0.25">
      <c r="A36" s="936" t="s">
        <v>438</v>
      </c>
      <c r="B36" s="937"/>
      <c r="C36" s="938"/>
      <c r="D36" s="939">
        <v>0.2</v>
      </c>
      <c r="E36" s="940"/>
      <c r="F36" s="941">
        <f>H35*D36</f>
        <v>0</v>
      </c>
      <c r="G36" s="942"/>
      <c r="H36" s="934"/>
      <c r="I36" s="935"/>
      <c r="J36" s="876"/>
      <c r="K36" s="553"/>
      <c r="L36" s="554"/>
      <c r="M36" s="554"/>
      <c r="N36" s="555"/>
      <c r="O36" s="59"/>
      <c r="P36" s="59"/>
      <c r="Q36" s="59"/>
      <c r="R36" s="59"/>
      <c r="S36" s="59"/>
      <c r="T36" s="59"/>
      <c r="U36" s="59"/>
      <c r="V36" s="59"/>
    </row>
    <row r="37" spans="1:22" ht="31.5" customHeight="1" thickBot="1" x14ac:dyDescent="0.25">
      <c r="A37" s="888" t="s">
        <v>189</v>
      </c>
      <c r="B37" s="889"/>
      <c r="C37" s="889"/>
      <c r="D37" s="889"/>
      <c r="E37" s="890"/>
      <c r="F37" s="210"/>
      <c r="G37" s="210"/>
      <c r="H37" s="910">
        <f>H31+H33+H35</f>
        <v>0</v>
      </c>
      <c r="I37" s="912"/>
      <c r="J37" s="96"/>
      <c r="K37" s="74"/>
      <c r="L37" s="74"/>
      <c r="M37" s="74"/>
      <c r="N37" s="74"/>
      <c r="O37" s="59"/>
      <c r="P37" s="59"/>
      <c r="Q37" s="59"/>
      <c r="R37" s="59"/>
      <c r="S37" s="59"/>
      <c r="T37" s="59"/>
      <c r="U37" s="59"/>
      <c r="V37" s="59"/>
    </row>
    <row r="38" spans="1:22" ht="9.75" customHeight="1" thickBot="1" x14ac:dyDescent="0.25">
      <c r="A38" s="207"/>
      <c r="B38" s="210"/>
      <c r="C38" s="210"/>
      <c r="D38" s="210"/>
      <c r="E38" s="210"/>
      <c r="F38" s="210"/>
      <c r="G38" s="210"/>
      <c r="H38" s="217"/>
      <c r="I38" s="218"/>
      <c r="J38" s="96"/>
      <c r="K38" s="74"/>
      <c r="L38" s="74"/>
      <c r="M38" s="74"/>
      <c r="N38" s="74"/>
      <c r="O38" s="138"/>
      <c r="P38" s="59"/>
      <c r="Q38" s="59"/>
      <c r="R38" s="59"/>
      <c r="S38" s="59"/>
      <c r="T38" s="59"/>
      <c r="U38" s="59"/>
      <c r="V38" s="59"/>
    </row>
    <row r="39" spans="1:22" ht="30.75" customHeight="1" thickBot="1" x14ac:dyDescent="0.25">
      <c r="A39" s="888" t="s">
        <v>441</v>
      </c>
      <c r="B39" s="889"/>
      <c r="C39" s="889"/>
      <c r="D39" s="889"/>
      <c r="E39" s="890"/>
      <c r="F39" s="402">
        <f>'Daten zum Auftrag'!B47*100</f>
        <v>20</v>
      </c>
      <c r="G39" s="484" t="s">
        <v>191</v>
      </c>
      <c r="H39" s="913">
        <f>H37/75*F39</f>
        <v>0</v>
      </c>
      <c r="I39" s="914"/>
      <c r="J39" s="877">
        <v>999</v>
      </c>
      <c r="K39" s="137"/>
      <c r="L39" s="137"/>
      <c r="M39" s="137"/>
      <c r="N39" s="137"/>
      <c r="O39" s="138"/>
      <c r="P39" s="59"/>
      <c r="Q39" s="59"/>
      <c r="R39" s="59"/>
      <c r="S39" s="59"/>
      <c r="T39" s="59"/>
      <c r="U39" s="59"/>
      <c r="V39" s="59"/>
    </row>
    <row r="40" spans="1:22" ht="9.75" customHeight="1" thickBot="1" x14ac:dyDescent="0.25">
      <c r="A40" s="207"/>
      <c r="B40" s="210"/>
      <c r="C40" s="210"/>
      <c r="D40" s="210"/>
      <c r="E40" s="210"/>
      <c r="F40" s="210"/>
      <c r="G40" s="210"/>
      <c r="H40" s="217"/>
      <c r="I40" s="218"/>
      <c r="J40" s="878"/>
      <c r="K40" s="74"/>
      <c r="L40" s="74"/>
      <c r="M40" s="74"/>
      <c r="N40" s="74"/>
      <c r="O40" s="138"/>
      <c r="P40" s="59"/>
      <c r="Q40" s="59"/>
      <c r="R40" s="59"/>
      <c r="S40" s="59"/>
      <c r="T40" s="59"/>
      <c r="U40" s="59"/>
      <c r="V40" s="59"/>
    </row>
    <row r="41" spans="1:22" ht="26.25" customHeight="1" thickBot="1" x14ac:dyDescent="0.25">
      <c r="A41" s="886" t="s">
        <v>192</v>
      </c>
      <c r="B41" s="887"/>
      <c r="C41" s="887"/>
      <c r="D41" s="887"/>
      <c r="E41" s="887"/>
      <c r="F41" s="906">
        <v>5</v>
      </c>
      <c r="G41" s="907"/>
      <c r="H41" s="908">
        <f>H37/75*F41</f>
        <v>0</v>
      </c>
      <c r="I41" s="909"/>
      <c r="J41" s="84">
        <v>773</v>
      </c>
      <c r="K41" s="137"/>
      <c r="L41" s="137"/>
      <c r="M41" s="137"/>
      <c r="N41" s="137"/>
      <c r="O41" s="138"/>
      <c r="P41" s="59"/>
      <c r="Q41" s="59"/>
      <c r="R41" s="59"/>
      <c r="S41" s="59"/>
      <c r="T41" s="59"/>
      <c r="U41" s="59"/>
      <c r="V41" s="59"/>
    </row>
    <row r="42" spans="1:22" ht="26.25" customHeight="1" thickBot="1" x14ac:dyDescent="0.25">
      <c r="A42" s="888" t="s">
        <v>193</v>
      </c>
      <c r="B42" s="889"/>
      <c r="C42" s="889"/>
      <c r="D42" s="889"/>
      <c r="E42" s="890"/>
      <c r="F42" s="209"/>
      <c r="G42" s="209"/>
      <c r="H42" s="910">
        <f>H37+H39+H41</f>
        <v>0</v>
      </c>
      <c r="I42" s="911"/>
      <c r="J42" s="96"/>
      <c r="K42" s="137"/>
      <c r="L42" s="137"/>
      <c r="M42" s="137"/>
      <c r="N42" s="137"/>
      <c r="O42" s="138"/>
      <c r="P42" s="59"/>
      <c r="Q42" s="59"/>
      <c r="R42" s="59"/>
      <c r="S42" s="59"/>
      <c r="T42" s="59"/>
      <c r="U42" s="59"/>
      <c r="V42" s="59"/>
    </row>
    <row r="43" spans="1:22" ht="25.5" customHeight="1" x14ac:dyDescent="0.2">
      <c r="A43" s="891" t="str">
        <f>'vereinfachte Gesamtkalkulat '!A73</f>
        <v xml:space="preserve">Partner Inland (mit USt) 19% </v>
      </c>
      <c r="B43" s="892"/>
      <c r="C43" s="892"/>
      <c r="D43" s="892"/>
      <c r="E43" s="893"/>
      <c r="F43" s="915" t="s">
        <v>273</v>
      </c>
      <c r="G43" s="916"/>
      <c r="H43" s="913">
        <f>H42*'vereinfachte Gesamtkalkulat '!C73</f>
        <v>0</v>
      </c>
      <c r="I43" s="919"/>
      <c r="J43" s="96"/>
      <c r="K43" s="137"/>
      <c r="L43" s="137"/>
      <c r="M43" s="137"/>
      <c r="N43" s="137"/>
      <c r="O43" s="59"/>
      <c r="P43" s="59"/>
      <c r="Q43" s="59"/>
      <c r="R43" s="59"/>
      <c r="S43" s="59"/>
      <c r="T43" s="59"/>
      <c r="U43" s="59"/>
      <c r="V43" s="59"/>
    </row>
    <row r="44" spans="1:22" ht="8.25" customHeight="1" thickBot="1" x14ac:dyDescent="0.25">
      <c r="A44" s="894"/>
      <c r="B44" s="895"/>
      <c r="C44" s="895"/>
      <c r="D44" s="895"/>
      <c r="E44" s="896"/>
      <c r="F44" s="917"/>
      <c r="G44" s="918"/>
      <c r="H44" s="920"/>
      <c r="I44" s="921"/>
      <c r="J44" s="96"/>
      <c r="K44" s="59"/>
      <c r="L44" s="59"/>
      <c r="M44" s="59"/>
      <c r="N44" s="59"/>
      <c r="O44" s="59"/>
      <c r="P44" s="59"/>
      <c r="Q44" s="59"/>
      <c r="R44" s="59"/>
      <c r="S44" s="59"/>
      <c r="T44" s="59"/>
      <c r="U44" s="59"/>
      <c r="V44" s="59"/>
    </row>
    <row r="45" spans="1:22" ht="33" customHeight="1" x14ac:dyDescent="0.2">
      <c r="A45" s="880" t="s">
        <v>194</v>
      </c>
      <c r="B45" s="881"/>
      <c r="C45" s="881"/>
      <c r="D45" s="881"/>
      <c r="E45" s="882"/>
      <c r="F45" s="898" t="s">
        <v>273</v>
      </c>
      <c r="G45" s="899"/>
      <c r="H45" s="902">
        <f>H42+H43</f>
        <v>0</v>
      </c>
      <c r="I45" s="903"/>
      <c r="J45" s="96"/>
      <c r="K45" s="59"/>
      <c r="L45" s="59"/>
      <c r="M45" s="59"/>
      <c r="N45" s="59"/>
      <c r="O45" s="59"/>
      <c r="P45" s="59"/>
      <c r="Q45" s="59"/>
      <c r="R45" s="59"/>
      <c r="S45" s="59"/>
      <c r="T45" s="59"/>
      <c r="U45" s="59"/>
      <c r="V45" s="59"/>
    </row>
    <row r="46" spans="1:22" ht="13.5" thickBot="1" x14ac:dyDescent="0.25">
      <c r="A46" s="883"/>
      <c r="B46" s="884"/>
      <c r="C46" s="884"/>
      <c r="D46" s="884"/>
      <c r="E46" s="885"/>
      <c r="F46" s="900"/>
      <c r="G46" s="901"/>
      <c r="H46" s="904"/>
      <c r="I46" s="905"/>
      <c r="J46" s="96"/>
      <c r="K46" s="59"/>
      <c r="L46" s="59"/>
      <c r="M46" s="59"/>
      <c r="N46" s="59"/>
      <c r="O46" s="59"/>
      <c r="P46" s="59"/>
      <c r="Q46" s="59"/>
      <c r="R46" s="59"/>
      <c r="S46" s="59"/>
      <c r="T46" s="59"/>
      <c r="U46" s="59"/>
      <c r="V46" s="59"/>
    </row>
    <row r="47" spans="1:22" ht="24" customHeight="1" x14ac:dyDescent="0.2">
      <c r="A47" s="59"/>
      <c r="B47" s="59"/>
      <c r="C47" s="59"/>
      <c r="D47" s="59"/>
      <c r="E47" s="59"/>
      <c r="F47" s="59"/>
      <c r="G47" s="59"/>
      <c r="H47" s="59"/>
      <c r="I47" s="59"/>
      <c r="J47" s="96"/>
      <c r="K47" s="59"/>
      <c r="L47" s="59"/>
      <c r="M47" s="59"/>
      <c r="N47" s="59"/>
      <c r="O47" s="59"/>
      <c r="P47" s="59"/>
      <c r="Q47" s="59"/>
      <c r="R47" s="59"/>
      <c r="S47" s="59"/>
      <c r="T47" s="59"/>
      <c r="U47" s="59"/>
      <c r="V47" s="59"/>
    </row>
    <row r="48" spans="1:22" x14ac:dyDescent="0.2">
      <c r="A48" s="140" t="s">
        <v>195</v>
      </c>
      <c r="B48" s="141"/>
      <c r="C48" s="141"/>
      <c r="D48" s="141"/>
      <c r="E48" s="141"/>
      <c r="F48" s="141"/>
      <c r="G48" s="141"/>
      <c r="H48" s="141"/>
      <c r="I48" s="142"/>
      <c r="J48" s="96"/>
      <c r="K48" s="59"/>
      <c r="L48" s="59"/>
      <c r="M48" s="59"/>
      <c r="N48" s="59"/>
      <c r="O48" s="59"/>
      <c r="P48" s="59"/>
      <c r="Q48" s="59"/>
      <c r="R48" s="59"/>
      <c r="S48" s="59"/>
      <c r="T48" s="59"/>
      <c r="U48" s="59"/>
      <c r="V48" s="59"/>
    </row>
    <row r="49" spans="1:26" x14ac:dyDescent="0.2">
      <c r="A49" s="449" t="s">
        <v>442</v>
      </c>
      <c r="B49" s="71"/>
      <c r="C49" s="71"/>
      <c r="D49" s="71"/>
      <c r="E49" s="71"/>
      <c r="F49" s="71"/>
      <c r="G49" s="71"/>
      <c r="H49" s="71"/>
      <c r="I49" s="143"/>
      <c r="J49" s="96"/>
      <c r="K49" s="59"/>
      <c r="L49" s="59"/>
      <c r="M49" s="59"/>
      <c r="N49" s="59"/>
      <c r="O49" s="59"/>
      <c r="P49" s="59"/>
      <c r="Q49" s="59"/>
      <c r="R49" s="59"/>
      <c r="S49" s="59"/>
      <c r="T49" s="59"/>
      <c r="U49" s="59"/>
      <c r="V49" s="59"/>
    </row>
    <row r="50" spans="1:26" x14ac:dyDescent="0.2">
      <c r="A50" s="102" t="s">
        <v>443</v>
      </c>
      <c r="B50" s="59"/>
      <c r="C50" s="59"/>
      <c r="D50" s="59"/>
      <c r="E50" s="59"/>
      <c r="F50" s="59"/>
      <c r="G50" s="59"/>
      <c r="H50" s="59"/>
      <c r="I50" s="101"/>
      <c r="J50" s="96"/>
      <c r="K50" s="59"/>
      <c r="L50" s="59"/>
      <c r="M50" s="59"/>
      <c r="N50" s="59"/>
      <c r="O50" s="59"/>
      <c r="P50" s="59"/>
      <c r="Q50" s="59"/>
      <c r="R50" s="59"/>
      <c r="S50" s="59"/>
      <c r="T50" s="59"/>
      <c r="U50" s="59"/>
      <c r="V50" s="59"/>
    </row>
    <row r="51" spans="1:26" ht="15.75" x14ac:dyDescent="0.25">
      <c r="A51" s="102" t="s">
        <v>444</v>
      </c>
      <c r="B51" s="59"/>
      <c r="C51" s="59"/>
      <c r="D51" s="59"/>
      <c r="E51" s="59"/>
      <c r="F51" s="59"/>
      <c r="G51" s="59"/>
      <c r="H51" s="59"/>
      <c r="I51" s="101"/>
      <c r="J51" s="96"/>
      <c r="K51" s="59"/>
      <c r="L51" s="59"/>
      <c r="M51" s="59"/>
      <c r="N51" s="59"/>
      <c r="O51" s="59"/>
      <c r="P51" s="191"/>
      <c r="Q51" s="191"/>
      <c r="R51" s="191"/>
      <c r="S51" s="191"/>
      <c r="T51" s="191"/>
      <c r="U51" s="191"/>
      <c r="V51" s="59"/>
      <c r="W51" s="59"/>
      <c r="X51" s="59"/>
      <c r="Y51" s="59"/>
      <c r="Z51" s="59"/>
    </row>
    <row r="52" spans="1:26" ht="15.75" x14ac:dyDescent="0.25">
      <c r="A52" s="102" t="s">
        <v>445</v>
      </c>
      <c r="B52" s="59"/>
      <c r="C52" s="59"/>
      <c r="D52" s="59"/>
      <c r="E52" s="59"/>
      <c r="F52" s="59"/>
      <c r="G52" s="59"/>
      <c r="H52" s="59"/>
      <c r="I52" s="101"/>
      <c r="J52" s="96"/>
      <c r="K52" s="59"/>
      <c r="L52" s="59"/>
      <c r="M52" s="59"/>
      <c r="N52" s="59"/>
      <c r="O52" s="59"/>
      <c r="P52" s="191"/>
      <c r="Q52" s="191"/>
      <c r="R52" s="191"/>
      <c r="S52" s="191"/>
      <c r="T52" s="191"/>
      <c r="U52" s="191"/>
      <c r="V52" s="59"/>
      <c r="W52" s="59"/>
      <c r="X52" s="59"/>
      <c r="Y52" s="59"/>
      <c r="Z52" s="59"/>
    </row>
    <row r="53" spans="1:26" ht="15.75" x14ac:dyDescent="0.25">
      <c r="A53" s="108" t="s">
        <v>446</v>
      </c>
      <c r="B53" s="59"/>
      <c r="C53" s="59"/>
      <c r="D53" s="59"/>
      <c r="E53" s="59"/>
      <c r="F53" s="59"/>
      <c r="G53" s="59"/>
      <c r="H53" s="59"/>
      <c r="I53" s="101"/>
      <c r="J53" s="96"/>
      <c r="K53" s="59"/>
      <c r="L53" s="59"/>
      <c r="M53" s="59"/>
      <c r="N53" s="59"/>
      <c r="O53" s="59"/>
      <c r="P53" s="191"/>
      <c r="Q53" s="191"/>
      <c r="R53" s="191"/>
      <c r="S53" s="191"/>
      <c r="T53" s="191"/>
      <c r="U53" s="191"/>
      <c r="V53" s="59"/>
      <c r="W53" s="59"/>
      <c r="X53" s="59"/>
      <c r="Y53" s="59"/>
      <c r="Z53" s="59"/>
    </row>
    <row r="54" spans="1:26" ht="15.75" x14ac:dyDescent="0.25">
      <c r="A54" s="108" t="s">
        <v>447</v>
      </c>
      <c r="B54" s="59"/>
      <c r="C54" s="59"/>
      <c r="D54" s="59"/>
      <c r="E54" s="59"/>
      <c r="F54" s="59"/>
      <c r="G54" s="59"/>
      <c r="H54" s="59"/>
      <c r="I54" s="101"/>
      <c r="J54" s="96"/>
      <c r="K54" s="59"/>
      <c r="L54" s="59"/>
      <c r="M54" s="59"/>
      <c r="N54" s="59"/>
      <c r="O54" s="59"/>
      <c r="P54" s="191"/>
      <c r="Q54" s="191"/>
      <c r="R54" s="191"/>
      <c r="S54" s="191"/>
      <c r="T54" s="191"/>
      <c r="U54" s="191"/>
      <c r="V54" s="59"/>
      <c r="W54" s="59"/>
      <c r="X54" s="59"/>
      <c r="Y54" s="59"/>
      <c r="Z54" s="59"/>
    </row>
    <row r="55" spans="1:26" x14ac:dyDescent="0.2">
      <c r="A55" s="102" t="s">
        <v>448</v>
      </c>
      <c r="B55" s="59"/>
      <c r="C55" s="59"/>
      <c r="D55" s="59"/>
      <c r="E55" s="59"/>
      <c r="F55" s="59"/>
      <c r="G55" s="59"/>
      <c r="H55" s="59"/>
      <c r="I55" s="101"/>
      <c r="J55" s="96"/>
      <c r="K55" s="59"/>
      <c r="L55" s="59"/>
      <c r="M55" s="59"/>
      <c r="N55" s="59"/>
      <c r="O55" s="59"/>
      <c r="P55" s="59"/>
      <c r="Q55" s="59"/>
      <c r="R55" s="59"/>
      <c r="S55" s="59"/>
      <c r="T55" s="59"/>
      <c r="U55" s="59"/>
      <c r="V55" s="59"/>
    </row>
    <row r="56" spans="1:26" x14ac:dyDescent="0.2">
      <c r="A56" s="102" t="s">
        <v>449</v>
      </c>
      <c r="B56" s="59"/>
      <c r="C56" s="59"/>
      <c r="D56" s="59"/>
      <c r="E56" s="59"/>
      <c r="F56" s="59"/>
      <c r="G56" s="59"/>
      <c r="H56" s="59"/>
      <c r="I56" s="101"/>
      <c r="J56" s="96"/>
      <c r="K56" s="59"/>
      <c r="L56" s="59"/>
      <c r="M56" s="59"/>
      <c r="N56" s="59"/>
      <c r="O56" s="59"/>
      <c r="P56" s="59"/>
      <c r="Q56" s="59"/>
      <c r="R56" s="59"/>
      <c r="S56" s="59"/>
      <c r="T56" s="59"/>
      <c r="U56" s="59"/>
      <c r="V56" s="59"/>
    </row>
    <row r="57" spans="1:26" x14ac:dyDescent="0.2">
      <c r="A57" s="102" t="s">
        <v>450</v>
      </c>
      <c r="B57" s="59"/>
      <c r="C57" s="59"/>
      <c r="D57" s="59"/>
      <c r="E57" s="59"/>
      <c r="F57" s="59"/>
      <c r="G57" s="59"/>
      <c r="H57" s="59"/>
      <c r="I57" s="101"/>
      <c r="J57" s="96"/>
      <c r="K57" s="59"/>
      <c r="L57" s="59"/>
      <c r="M57" s="59"/>
      <c r="N57" s="59"/>
      <c r="O57" s="59"/>
      <c r="P57" s="59"/>
      <c r="Q57" s="59"/>
      <c r="R57" s="59"/>
      <c r="S57" s="59"/>
      <c r="T57" s="59"/>
      <c r="U57" s="59"/>
      <c r="V57" s="59"/>
    </row>
    <row r="58" spans="1:26" x14ac:dyDescent="0.2">
      <c r="A58" s="102" t="s">
        <v>451</v>
      </c>
      <c r="B58" s="59"/>
      <c r="C58" s="59"/>
      <c r="D58" s="59"/>
      <c r="E58" s="59"/>
      <c r="F58" s="59"/>
      <c r="G58" s="59"/>
      <c r="H58" s="59"/>
      <c r="I58" s="101"/>
      <c r="J58" s="96"/>
      <c r="K58" s="59"/>
      <c r="L58" s="59"/>
      <c r="M58" s="59"/>
      <c r="N58" s="59"/>
      <c r="O58" s="59"/>
      <c r="P58" s="59"/>
      <c r="Q58" s="59"/>
      <c r="R58" s="59"/>
      <c r="S58" s="59"/>
      <c r="T58" s="59"/>
      <c r="U58" s="59"/>
      <c r="V58" s="59"/>
    </row>
    <row r="59" spans="1:26" x14ac:dyDescent="0.2">
      <c r="A59" s="102" t="s">
        <v>452</v>
      </c>
      <c r="B59" s="59"/>
      <c r="C59" s="59"/>
      <c r="D59" s="59"/>
      <c r="E59" s="59"/>
      <c r="F59" s="59"/>
      <c r="G59" s="59"/>
      <c r="H59" s="59"/>
      <c r="I59" s="101"/>
      <c r="J59" s="96"/>
      <c r="K59" s="59"/>
      <c r="L59" s="59"/>
      <c r="M59" s="59"/>
      <c r="N59" s="59"/>
      <c r="O59" s="59"/>
      <c r="P59" s="59"/>
      <c r="Q59" s="59"/>
      <c r="R59" s="59"/>
      <c r="S59" s="59"/>
      <c r="T59" s="59"/>
      <c r="U59" s="59"/>
      <c r="V59" s="59"/>
    </row>
    <row r="60" spans="1:26" x14ac:dyDescent="0.2">
      <c r="A60" s="102" t="s">
        <v>453</v>
      </c>
      <c r="B60" s="59"/>
      <c r="C60" s="59"/>
      <c r="D60" s="59"/>
      <c r="E60" s="59"/>
      <c r="F60" s="59"/>
      <c r="G60" s="59"/>
      <c r="H60" s="59"/>
      <c r="I60" s="101"/>
      <c r="J60" s="96"/>
      <c r="K60" s="59"/>
      <c r="L60" s="59"/>
      <c r="M60" s="59"/>
      <c r="N60" s="59"/>
      <c r="O60" s="59"/>
      <c r="P60" s="59"/>
      <c r="Q60" s="59"/>
      <c r="R60" s="59"/>
      <c r="S60" s="59"/>
      <c r="T60" s="59"/>
      <c r="U60" s="59"/>
      <c r="V60" s="59"/>
    </row>
    <row r="61" spans="1:26" x14ac:dyDescent="0.2">
      <c r="A61" s="102"/>
      <c r="B61" s="59"/>
      <c r="C61" s="59"/>
      <c r="D61" s="59"/>
      <c r="E61" s="59"/>
      <c r="F61" s="59"/>
      <c r="G61" s="59"/>
      <c r="H61" s="59"/>
      <c r="I61" s="101"/>
      <c r="J61" s="96"/>
      <c r="K61" s="59"/>
      <c r="L61" s="59"/>
      <c r="M61" s="59"/>
      <c r="N61" s="59"/>
      <c r="O61" s="59"/>
      <c r="P61" s="59"/>
      <c r="Q61" s="59"/>
      <c r="R61" s="59"/>
      <c r="S61" s="59"/>
      <c r="T61" s="59"/>
      <c r="U61" s="59"/>
      <c r="V61" s="59"/>
    </row>
    <row r="62" spans="1:26" x14ac:dyDescent="0.2">
      <c r="A62" s="102"/>
      <c r="B62" s="59"/>
      <c r="C62" s="59"/>
      <c r="D62" s="59"/>
      <c r="E62" s="59"/>
      <c r="F62" s="59"/>
      <c r="G62" s="59"/>
      <c r="H62" s="59"/>
      <c r="I62" s="101"/>
      <c r="J62" s="96"/>
      <c r="K62" s="59"/>
      <c r="L62" s="59"/>
      <c r="M62" s="59"/>
      <c r="N62" s="59"/>
      <c r="O62" s="59"/>
      <c r="P62" s="59"/>
      <c r="Q62" s="59"/>
      <c r="R62" s="59"/>
      <c r="S62" s="59"/>
      <c r="T62" s="59"/>
      <c r="U62" s="59"/>
      <c r="V62" s="59"/>
    </row>
    <row r="63" spans="1:26" x14ac:dyDescent="0.2">
      <c r="A63" s="144"/>
      <c r="B63" s="879" t="s">
        <v>454</v>
      </c>
      <c r="C63" s="879"/>
      <c r="D63" s="879"/>
      <c r="E63" s="403"/>
      <c r="F63" s="879" t="s">
        <v>455</v>
      </c>
      <c r="G63" s="879"/>
      <c r="H63" s="879"/>
      <c r="I63" s="897"/>
      <c r="J63" s="96"/>
      <c r="K63" s="59"/>
      <c r="L63" s="59"/>
      <c r="M63" s="59"/>
      <c r="N63" s="59"/>
      <c r="O63" s="59"/>
      <c r="P63" s="59"/>
      <c r="Q63" s="59"/>
      <c r="R63" s="59"/>
      <c r="S63" s="59"/>
      <c r="T63" s="59"/>
      <c r="U63" s="59"/>
      <c r="V63" s="59"/>
    </row>
    <row r="64" spans="1:26" x14ac:dyDescent="0.2">
      <c r="A64" s="144"/>
      <c r="B64" s="72" t="s">
        <v>456</v>
      </c>
      <c r="C64" s="403"/>
      <c r="D64" s="403"/>
      <c r="E64" s="403"/>
      <c r="F64" s="72" t="s">
        <v>457</v>
      </c>
      <c r="G64" s="403"/>
      <c r="H64" s="403"/>
      <c r="I64" s="404"/>
      <c r="J64" s="96"/>
      <c r="K64" s="59"/>
      <c r="L64" s="59"/>
      <c r="M64" s="59"/>
      <c r="N64" s="59"/>
      <c r="O64" s="59"/>
      <c r="P64" s="59"/>
      <c r="Q64" s="59"/>
      <c r="R64" s="59"/>
      <c r="S64" s="59"/>
      <c r="T64" s="59"/>
      <c r="U64" s="59"/>
      <c r="V64" s="59"/>
    </row>
    <row r="65" spans="1:22" x14ac:dyDescent="0.2">
      <c r="A65" s="144"/>
      <c r="B65" s="403"/>
      <c r="C65" s="403"/>
      <c r="D65" s="403"/>
      <c r="E65" s="403"/>
      <c r="F65" s="879" t="s">
        <v>213</v>
      </c>
      <c r="G65" s="879"/>
      <c r="H65" s="879"/>
      <c r="I65" s="897"/>
      <c r="J65" s="96"/>
      <c r="K65" s="59"/>
      <c r="L65" s="59"/>
      <c r="M65" s="59"/>
      <c r="N65" s="59"/>
      <c r="O65" s="59"/>
      <c r="P65" s="59"/>
      <c r="Q65" s="59"/>
      <c r="R65" s="59"/>
      <c r="S65" s="59"/>
      <c r="T65" s="59"/>
      <c r="U65" s="59"/>
      <c r="V65" s="59"/>
    </row>
    <row r="66" spans="1:22" x14ac:dyDescent="0.2">
      <c r="A66" s="145"/>
      <c r="B66" s="146"/>
      <c r="C66" s="146"/>
      <c r="D66" s="146"/>
      <c r="E66" s="146"/>
      <c r="F66" s="146"/>
      <c r="G66" s="146"/>
      <c r="H66" s="146"/>
      <c r="I66" s="147"/>
      <c r="J66" s="96"/>
      <c r="K66" s="59"/>
      <c r="L66" s="59"/>
      <c r="M66" s="59"/>
      <c r="N66" s="59"/>
      <c r="O66" s="59"/>
      <c r="P66" s="59"/>
      <c r="Q66" s="59"/>
      <c r="R66" s="59"/>
      <c r="S66" s="59"/>
      <c r="T66" s="59"/>
      <c r="U66" s="59"/>
      <c r="V66" s="59"/>
    </row>
    <row r="67" spans="1:22" x14ac:dyDescent="0.2">
      <c r="A67" s="59"/>
      <c r="B67" s="59"/>
      <c r="C67" s="59"/>
      <c r="D67" s="59"/>
      <c r="E67" s="59"/>
      <c r="F67" s="59"/>
      <c r="G67" s="59"/>
      <c r="H67" s="59"/>
      <c r="I67" s="59"/>
      <c r="J67" s="96"/>
      <c r="K67" s="59"/>
      <c r="L67" s="59"/>
      <c r="M67" s="59"/>
      <c r="N67" s="59"/>
      <c r="O67" s="59"/>
      <c r="P67" s="59"/>
      <c r="Q67" s="59"/>
      <c r="R67" s="59"/>
      <c r="S67" s="59"/>
      <c r="T67" s="59"/>
      <c r="U67" s="59"/>
      <c r="V67" s="59"/>
    </row>
    <row r="68" spans="1:22" x14ac:dyDescent="0.2">
      <c r="A68" s="59"/>
      <c r="B68" s="59"/>
      <c r="C68" s="59"/>
      <c r="D68" s="59"/>
      <c r="E68" s="59"/>
      <c r="F68" s="59"/>
      <c r="G68" s="59"/>
      <c r="H68" s="59"/>
      <c r="I68" s="59"/>
      <c r="J68" s="96"/>
      <c r="K68" s="59"/>
      <c r="L68" s="59"/>
      <c r="M68" s="59"/>
      <c r="N68" s="59"/>
      <c r="O68" s="59"/>
      <c r="P68" s="59"/>
      <c r="Q68" s="59"/>
      <c r="R68" s="59"/>
      <c r="S68" s="59"/>
      <c r="T68" s="59"/>
      <c r="U68" s="59"/>
      <c r="V68" s="59"/>
    </row>
    <row r="69" spans="1:22" x14ac:dyDescent="0.2">
      <c r="A69" s="59"/>
      <c r="B69" s="59"/>
      <c r="C69" s="59"/>
      <c r="D69" s="59"/>
      <c r="E69" s="59"/>
      <c r="F69" s="59"/>
      <c r="G69" s="59"/>
      <c r="H69" s="59"/>
      <c r="I69" s="59"/>
      <c r="J69" s="96"/>
      <c r="K69" s="59"/>
      <c r="L69" s="59"/>
      <c r="M69" s="59"/>
      <c r="N69" s="59"/>
      <c r="O69" s="59"/>
      <c r="P69" s="59"/>
      <c r="Q69" s="59"/>
      <c r="R69" s="59"/>
      <c r="S69" s="59"/>
      <c r="T69" s="59"/>
      <c r="U69" s="59"/>
      <c r="V69" s="59"/>
    </row>
    <row r="70" spans="1:22" x14ac:dyDescent="0.2">
      <c r="A70" s="59"/>
      <c r="B70" s="59"/>
      <c r="C70" s="59"/>
      <c r="D70" s="59"/>
      <c r="E70" s="59"/>
      <c r="F70" s="59"/>
      <c r="G70" s="59"/>
      <c r="H70" s="59"/>
      <c r="I70" s="59"/>
      <c r="J70" s="96"/>
      <c r="K70" s="59"/>
      <c r="L70" s="59"/>
      <c r="M70" s="59"/>
      <c r="N70" s="59"/>
      <c r="O70" s="59"/>
      <c r="P70" s="59"/>
      <c r="Q70" s="59"/>
      <c r="R70" s="59"/>
      <c r="S70" s="59"/>
      <c r="T70" s="59"/>
      <c r="U70" s="59"/>
      <c r="V70" s="59"/>
    </row>
    <row r="71" spans="1:22" x14ac:dyDescent="0.2">
      <c r="A71" s="59"/>
      <c r="B71" s="59"/>
      <c r="C71" s="59"/>
      <c r="D71" s="59"/>
      <c r="E71" s="59"/>
      <c r="F71" s="59"/>
      <c r="G71" s="59"/>
      <c r="H71" s="59"/>
      <c r="I71" s="59"/>
      <c r="J71" s="96"/>
      <c r="K71" s="59"/>
      <c r="L71" s="59"/>
      <c r="M71" s="59"/>
      <c r="N71" s="59"/>
      <c r="O71" s="59"/>
      <c r="P71" s="59"/>
      <c r="Q71" s="59"/>
      <c r="R71" s="59"/>
      <c r="S71" s="59"/>
      <c r="T71" s="59"/>
      <c r="U71" s="59"/>
      <c r="V71" s="59"/>
    </row>
    <row r="72" spans="1:22" x14ac:dyDescent="0.2">
      <c r="A72" s="59"/>
      <c r="B72" s="59"/>
      <c r="C72" s="59"/>
      <c r="D72" s="59"/>
      <c r="E72" s="59"/>
      <c r="F72" s="59"/>
      <c r="G72" s="59"/>
      <c r="H72" s="59"/>
      <c r="I72" s="59"/>
      <c r="J72" s="96"/>
      <c r="K72" s="59"/>
      <c r="L72" s="59"/>
      <c r="M72" s="59"/>
      <c r="N72" s="59"/>
      <c r="O72" s="59"/>
      <c r="P72" s="59"/>
      <c r="Q72" s="59"/>
      <c r="R72" s="59"/>
      <c r="S72" s="59"/>
      <c r="T72" s="59"/>
      <c r="U72" s="59"/>
      <c r="V72" s="59"/>
    </row>
    <row r="73" spans="1:22" x14ac:dyDescent="0.2">
      <c r="A73" s="59"/>
      <c r="B73" s="59"/>
      <c r="C73" s="59"/>
      <c r="D73" s="59"/>
      <c r="E73" s="59"/>
      <c r="F73" s="59"/>
      <c r="G73" s="59"/>
      <c r="H73" s="59"/>
      <c r="I73" s="59"/>
      <c r="J73" s="96"/>
      <c r="K73" s="59"/>
      <c r="L73" s="59"/>
      <c r="M73" s="59"/>
      <c r="N73" s="59"/>
      <c r="O73" s="59"/>
      <c r="P73" s="59"/>
      <c r="Q73" s="59"/>
      <c r="R73" s="59"/>
      <c r="S73" s="59"/>
      <c r="T73" s="59"/>
      <c r="U73" s="59"/>
      <c r="V73" s="59"/>
    </row>
    <row r="74" spans="1:22" x14ac:dyDescent="0.2">
      <c r="A74" s="59"/>
      <c r="B74" s="59"/>
      <c r="C74" s="59"/>
      <c r="D74" s="59"/>
      <c r="E74" s="59"/>
      <c r="F74" s="59"/>
      <c r="G74" s="59"/>
      <c r="H74" s="59"/>
      <c r="I74" s="59"/>
      <c r="J74" s="96"/>
      <c r="K74" s="59"/>
      <c r="L74" s="59"/>
      <c r="M74" s="59"/>
      <c r="N74" s="59"/>
      <c r="O74" s="59"/>
      <c r="P74" s="59"/>
      <c r="Q74" s="59"/>
      <c r="R74" s="59"/>
      <c r="S74" s="59"/>
      <c r="T74" s="59"/>
      <c r="U74" s="59"/>
      <c r="V74" s="59"/>
    </row>
    <row r="75" spans="1:22" x14ac:dyDescent="0.2">
      <c r="A75" s="59"/>
      <c r="B75" s="59"/>
      <c r="C75" s="59"/>
      <c r="D75" s="59"/>
      <c r="E75" s="59"/>
      <c r="F75" s="59"/>
      <c r="G75" s="59"/>
      <c r="H75" s="59"/>
      <c r="I75" s="59"/>
      <c r="J75" s="96"/>
      <c r="K75" s="59"/>
      <c r="L75" s="59"/>
      <c r="M75" s="59"/>
      <c r="N75" s="59"/>
      <c r="O75" s="59"/>
      <c r="P75" s="59"/>
      <c r="Q75" s="59"/>
      <c r="R75" s="59"/>
      <c r="S75" s="59"/>
      <c r="T75" s="59"/>
      <c r="U75" s="59"/>
      <c r="V75" s="59"/>
    </row>
    <row r="76" spans="1:22" x14ac:dyDescent="0.2">
      <c r="A76" s="59"/>
      <c r="B76" s="59"/>
      <c r="C76" s="59"/>
      <c r="D76" s="59"/>
      <c r="E76" s="59"/>
      <c r="F76" s="59"/>
      <c r="G76" s="59"/>
      <c r="H76" s="59"/>
      <c r="I76" s="59"/>
      <c r="J76" s="96"/>
      <c r="K76" s="59"/>
      <c r="L76" s="59"/>
      <c r="M76" s="59"/>
      <c r="N76" s="59"/>
      <c r="O76" s="59"/>
      <c r="P76" s="59"/>
      <c r="Q76" s="59"/>
      <c r="R76" s="59"/>
      <c r="S76" s="59"/>
      <c r="T76" s="59"/>
      <c r="U76" s="59"/>
      <c r="V76" s="59"/>
    </row>
    <row r="77" spans="1:22" x14ac:dyDescent="0.2">
      <c r="A77" s="59"/>
      <c r="B77" s="59"/>
      <c r="C77" s="59"/>
      <c r="D77" s="59"/>
      <c r="E77" s="59"/>
      <c r="F77" s="59"/>
      <c r="G77" s="59"/>
      <c r="H77" s="59"/>
      <c r="I77" s="59"/>
      <c r="J77" s="96"/>
      <c r="K77" s="59"/>
      <c r="L77" s="59"/>
      <c r="M77" s="59"/>
      <c r="N77" s="59"/>
      <c r="O77" s="59"/>
      <c r="P77" s="59"/>
      <c r="Q77" s="59"/>
      <c r="R77" s="59"/>
      <c r="S77" s="59"/>
      <c r="T77" s="59"/>
      <c r="U77" s="59"/>
      <c r="V77" s="59"/>
    </row>
    <row r="78" spans="1:22" x14ac:dyDescent="0.2">
      <c r="A78" s="59"/>
      <c r="B78" s="59"/>
      <c r="C78" s="59"/>
      <c r="D78" s="59"/>
      <c r="E78" s="59"/>
      <c r="F78" s="59"/>
      <c r="G78" s="59"/>
      <c r="H78" s="59"/>
      <c r="I78" s="59"/>
      <c r="J78" s="96"/>
      <c r="K78" s="59"/>
      <c r="L78" s="59"/>
      <c r="M78" s="59"/>
      <c r="N78" s="59"/>
      <c r="O78" s="59"/>
      <c r="P78" s="59"/>
      <c r="Q78" s="59"/>
      <c r="R78" s="59"/>
      <c r="S78" s="59"/>
      <c r="T78" s="59"/>
      <c r="U78" s="59"/>
      <c r="V78" s="59"/>
    </row>
    <row r="79" spans="1:22" x14ac:dyDescent="0.2">
      <c r="J79" s="96"/>
    </row>
    <row r="80" spans="1:22" x14ac:dyDescent="0.2">
      <c r="J80" s="96"/>
    </row>
    <row r="81" spans="10:10" x14ac:dyDescent="0.2">
      <c r="J81" s="96"/>
    </row>
  </sheetData>
  <sheetProtection algorithmName="SHA-512" hashValue="GFdiJGkIdL+QrBtusdjk1MBEssJhX7ghJpgr4liO3ujpGyA+TwSNE5GMUClF1452oVwW8fQ6p+jzoRF2ZdmUAQ==" saltValue="ooND3xzaasVD+4d0OYO/0Q==" spinCount="100000" sheet="1" objects="1" scenarios="1"/>
  <protectedRanges>
    <protectedRange password="CD18" sqref="F27" name="Bereich1"/>
    <protectedRange password="CD18" sqref="F33:F34 F36" name="Bereich2"/>
    <protectedRange password="CD18" sqref="H35:H36" name="Bereich3"/>
  </protectedRanges>
  <mergeCells count="92">
    <mergeCell ref="H9:I10"/>
    <mergeCell ref="A11:E12"/>
    <mergeCell ref="F11:G12"/>
    <mergeCell ref="N1:N2"/>
    <mergeCell ref="A1:I1"/>
    <mergeCell ref="A2:I2"/>
    <mergeCell ref="A3:I3"/>
    <mergeCell ref="K1:M2"/>
    <mergeCell ref="A4:E5"/>
    <mergeCell ref="F4:G5"/>
    <mergeCell ref="H4:I5"/>
    <mergeCell ref="A6:E6"/>
    <mergeCell ref="F6:G6"/>
    <mergeCell ref="H6:I6"/>
    <mergeCell ref="A7:E8"/>
    <mergeCell ref="F7:G8"/>
    <mergeCell ref="H7:I8"/>
    <mergeCell ref="A9:E10"/>
    <mergeCell ref="F9:G10"/>
    <mergeCell ref="H11:I12"/>
    <mergeCell ref="A19:E20"/>
    <mergeCell ref="F19:G20"/>
    <mergeCell ref="H19:I20"/>
    <mergeCell ref="A15:E16"/>
    <mergeCell ref="F15:G16"/>
    <mergeCell ref="H15:I16"/>
    <mergeCell ref="A17:E18"/>
    <mergeCell ref="F17:G18"/>
    <mergeCell ref="H17:I18"/>
    <mergeCell ref="A13:E14"/>
    <mergeCell ref="F13:G14"/>
    <mergeCell ref="H13:I14"/>
    <mergeCell ref="A21:E22"/>
    <mergeCell ref="F21:G22"/>
    <mergeCell ref="H21:I22"/>
    <mergeCell ref="K27:N30"/>
    <mergeCell ref="F29:G29"/>
    <mergeCell ref="H29:I29"/>
    <mergeCell ref="A24:E25"/>
    <mergeCell ref="F24:G25"/>
    <mergeCell ref="H24:I25"/>
    <mergeCell ref="A27:E28"/>
    <mergeCell ref="H27:I28"/>
    <mergeCell ref="F27:G27"/>
    <mergeCell ref="F28:G28"/>
    <mergeCell ref="A31:E32"/>
    <mergeCell ref="F31:G32"/>
    <mergeCell ref="H31:I32"/>
    <mergeCell ref="F35:G35"/>
    <mergeCell ref="H35:I36"/>
    <mergeCell ref="A36:C36"/>
    <mergeCell ref="D36:E36"/>
    <mergeCell ref="F36:G36"/>
    <mergeCell ref="A33:E33"/>
    <mergeCell ref="F33:G33"/>
    <mergeCell ref="H33:I34"/>
    <mergeCell ref="A34:C34"/>
    <mergeCell ref="D34:E34"/>
    <mergeCell ref="F34:G34"/>
    <mergeCell ref="J4:J5"/>
    <mergeCell ref="J7:J8"/>
    <mergeCell ref="J9:J10"/>
    <mergeCell ref="J11:J12"/>
    <mergeCell ref="J13:J14"/>
    <mergeCell ref="F65:I65"/>
    <mergeCell ref="J15:J16"/>
    <mergeCell ref="J17:J18"/>
    <mergeCell ref="J19:J20"/>
    <mergeCell ref="J21:J22"/>
    <mergeCell ref="J27:J28"/>
    <mergeCell ref="F45:G46"/>
    <mergeCell ref="H45:I46"/>
    <mergeCell ref="F41:G41"/>
    <mergeCell ref="H41:I41"/>
    <mergeCell ref="H42:I42"/>
    <mergeCell ref="F63:I63"/>
    <mergeCell ref="H37:I37"/>
    <mergeCell ref="H39:I39"/>
    <mergeCell ref="F43:G44"/>
    <mergeCell ref="H43:I44"/>
    <mergeCell ref="B63:D63"/>
    <mergeCell ref="A45:E46"/>
    <mergeCell ref="A41:E41"/>
    <mergeCell ref="A42:E42"/>
    <mergeCell ref="A37:E37"/>
    <mergeCell ref="A39:E39"/>
    <mergeCell ref="A43:E44"/>
    <mergeCell ref="K9:N10"/>
    <mergeCell ref="K33:N36"/>
    <mergeCell ref="J33:J34"/>
    <mergeCell ref="J35:J36"/>
    <mergeCell ref="J39:J40"/>
  </mergeCells>
  <pageMargins left="0.39370078740157483" right="0.39370078740157483" top="0.78740157480314965" bottom="0.39370078740157483" header="0.51181102362204722" footer="0.11811023622047245"/>
  <pageSetup paperSize="9" scale="66" orientation="portrait" r:id="rId1"/>
  <headerFooter alignWithMargins="0">
    <oddFooter>&amp;C&amp;"Arial,Fett"Stand: April 2025</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5"/>
  <dimension ref="A1"/>
  <sheetViews>
    <sheetView workbookViewId="0">
      <selection activeCell="B22" sqref="B22"/>
    </sheetView>
  </sheetViews>
  <sheetFormatPr baseColWidth="10" defaultColWidth="11.42578125" defaultRowHeight="12.75" x14ac:dyDescent="0.2"/>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Einleitung</vt:lpstr>
      <vt:lpstr>Daten zum Auftrag</vt:lpstr>
      <vt:lpstr>vereinfachte Gesamtkalkulat </vt:lpstr>
      <vt:lpstr>Code</vt:lpstr>
      <vt:lpstr>Personalkosten</vt:lpstr>
      <vt:lpstr>Tabelle4</vt:lpstr>
      <vt:lpstr>Gerätenutzungskosten</vt:lpstr>
      <vt:lpstr>Materialkosten</vt:lpstr>
      <vt:lpstr>Fremdleistungskosten</vt:lpstr>
      <vt:lpstr>sonstige direkt zurechenbare Ko</vt:lpstr>
      <vt:lpstr>Tabelle1</vt:lpstr>
      <vt:lpstr>Tabelle2</vt:lpstr>
      <vt:lpstr>Gesamtkalkulation</vt:lpstr>
      <vt:lpstr>Tabelle3</vt:lpstr>
      <vt:lpstr>'Daten zum Auftrag'!Druckbereich</vt:lpstr>
      <vt:lpstr>Fremdleistungskosten!Druckbereich</vt:lpstr>
      <vt:lpstr>Gerätenutzungskosten!Druckbereich</vt:lpstr>
      <vt:lpstr>Gesamtkalkulation!Druckbereich</vt:lpstr>
      <vt:lpstr>Materialkosten!Druckbereich</vt:lpstr>
      <vt:lpstr>Personalkosten!Druckbereich</vt:lpstr>
      <vt:lpstr>'sonstige direkt zurechenbare Ko'!Druckbereich</vt:lpstr>
      <vt:lpstr>'vereinfachte Gesamtkalkulat '!Druckbereich</vt:lpstr>
      <vt:lpstr>Personalkosten!Drucktitel</vt:lpstr>
    </vt:vector>
  </TitlesOfParts>
  <Manager/>
  <Company>Uni Bayreuth</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Kalkulationsschema</dc:title>
  <dc:subject>Projektkalkulation Drittmittel</dc:subject>
  <dc:creator>Christian Kauper</dc:creator>
  <cp:keywords/>
  <dc:description/>
  <cp:lastModifiedBy>Schuwerack, Christian</cp:lastModifiedBy>
  <cp:revision/>
  <cp:lastPrinted>2025-01-30T14:11:24Z</cp:lastPrinted>
  <dcterms:created xsi:type="dcterms:W3CDTF">2009-04-14T12:00:12Z</dcterms:created>
  <dcterms:modified xsi:type="dcterms:W3CDTF">2026-02-17T07:32:00Z</dcterms:modified>
  <cp:category/>
  <cp:contentStatus/>
</cp:coreProperties>
</file>